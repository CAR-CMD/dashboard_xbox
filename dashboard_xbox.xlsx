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rlosVieira\Desktop\Curso excel\Projetos\Projeto-3\"/>
    </mc:Choice>
  </mc:AlternateContent>
  <xr:revisionPtr revIDLastSave="0" documentId="8_{F00116F0-DD1B-4310-AE7F-A485C263BA6D}" xr6:coauthVersionLast="47" xr6:coauthVersionMax="47" xr10:uidLastSave="{00000000-0000-0000-0000-000000000000}"/>
  <bookViews>
    <workbookView xWindow="-110" yWindow="-110" windowWidth="19420" windowHeight="1150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4" l="1"/>
  <c r="H6" i="4"/>
  <c r="B13" i="3"/>
  <c r="B14" i="3"/>
</calcChain>
</file>

<file path=xl/sharedStrings.xml><?xml version="1.0" encoding="utf-8"?>
<sst xmlns="http://schemas.openxmlformats.org/spreadsheetml/2006/main" count="2014" uniqueCount="326">
  <si>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</si>
  <si>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</si>
  <si>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</si>
  <si>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</si>
  <si>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</si>
  <si>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</si>
  <si>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</si>
  <si>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</si>
  <si>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</si>
  <si>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</si>
  <si>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</si>
  <si>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</si>
  <si>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</si>
  <si>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</si>
  <si>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</si>
  <si>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</si>
  <si>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</si>
  <si>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</si>
  <si>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</si>
  <si>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</si>
  <si>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</si>
  <si>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</si>
  <si>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</si>
  <si>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</si>
  <si>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</si>
  <si>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</si>
  <si>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</si>
  <si>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</si>
  <si>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</si>
  <si>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</si>
  <si>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</si>
  <si>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</si>
  <si>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</si>
  <si>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</si>
  <si>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</si>
  <si>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</si>
  <si>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</si>
  <si>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</si>
  <si>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</si>
  <si>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</si>
  <si>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</si>
  <si>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</si>
  <si>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</si>
  <si>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</si>
  <si>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</si>
  <si>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</si>
  <si>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</si>
  <si>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</si>
  <si>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</si>
  <si>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</si>
  <si>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</si>
  <si>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</si>
  <si>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</si>
  <si>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</si>
  <si>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</si>
  <si>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</si>
  <si>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</si>
  <si>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</si>
  <si>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</si>
  <si>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</si>
  <si>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</si>
  <si>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</si>
  <si>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</si>
  <si>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</si>
  <si>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</si>
  <si>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</si>
  <si>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</si>
  <si>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</si>
  <si>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</si>
  <si>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</si>
  <si>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</si>
  <si>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</si>
  <si>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</si>
  <si>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</si>
  <si>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</si>
  <si>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</si>
  <si>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</si>
  <si>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</si>
  <si>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</si>
  <si>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</si>
  <si>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</si>
  <si>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</si>
  <si>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</si>
  <si>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</si>
  <si>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</si>
  <si>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</si>
  <si>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</si>
  <si>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</si>
  <si>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</si>
  <si>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</si>
  <si>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</si>
  <si>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</si>
  <si>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</si>
  <si>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</si>
  <si>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</si>
  <si>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</si>
  <si>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</si>
  <si>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</si>
  <si>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</si>
  <si>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</si>
  <si>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</si>
  <si>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</si>
  <si>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</si>
  <si>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</si>
  <si>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</si>
  <si>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</si>
  <si>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</si>
  <si>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</si>
  <si>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</si>
  <si>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</si>
  <si>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</si>
  <si>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</si>
  <si>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</si>
  <si>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</si>
  <si>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</si>
  <si>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</si>
  <si>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</si>
  <si>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</si>
  <si>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</si>
  <si>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</si>
  <si>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</si>
  <si>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</si>
  <si>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</si>
  <si>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</si>
  <si>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</si>
  <si>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</si>
  <si>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</si>
  <si>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</si>
  <si>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</si>
  <si>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</si>
  <si>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</si>
  <si>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</si>
  <si>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</si>
  <si>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</si>
  <si>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</si>
  <si>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</si>
  <si>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</si>
  <si>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</si>
  <si>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</si>
  <si>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</si>
  <si>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</si>
  <si>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</si>
  <si>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</si>
  <si>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</si>
  <si>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</si>
  <si>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</si>
  <si>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</si>
  <si>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</si>
  <si>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</si>
  <si>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</si>
  <si>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</si>
  <si>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</si>
  <si>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</si>
  <si>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</si>
  <si>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</si>
  <si>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</si>
  <si>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</si>
  <si>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</si>
  <si>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</si>
  <si>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</si>
  <si>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</si>
  <si>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</si>
  <si>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</si>
  <si>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</si>
  <si>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</si>
  <si>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</si>
  <si>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</si>
  <si>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</si>
  <si>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</si>
  <si>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</si>
  <si>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</si>
  <si>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</si>
  <si>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</si>
  <si>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</si>
  <si>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</si>
  <si>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</si>
  <si>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</si>
  <si>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</si>
  <si>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</si>
  <si>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</si>
  <si>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</si>
  <si>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</si>
  <si>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</si>
  <si>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</si>
  <si>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</si>
  <si>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</si>
  <si>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</si>
  <si>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</si>
  <si>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</si>
  <si>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</si>
  <si>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</si>
  <si>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</si>
  <si>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</si>
  <si>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</si>
  <si>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</si>
  <si>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</si>
  <si>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</si>
  <si>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</si>
  <si>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</si>
  <si>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</si>
  <si>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</si>
  <si>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</si>
  <si>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</si>
  <si>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</si>
  <si>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</si>
  <si>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</si>
  <si>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</si>
  <si>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</si>
  <si>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</si>
  <si>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</si>
  <si>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</si>
  <si>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</si>
  <si>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</si>
  <si>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</si>
  <si>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</si>
  <si>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</si>
  <si>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</si>
  <si>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</si>
  <si>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</si>
  <si>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</si>
  <si>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</si>
  <si>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</si>
  <si>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</si>
  <si>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</si>
  <si>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</si>
  <si>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</si>
  <si>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</si>
  <si>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</si>
  <si>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</si>
  <si>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</si>
  <si>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</si>
  <si>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</si>
  <si>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</si>
  <si>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</si>
  <si>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</si>
  <si>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</si>
  <si>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</si>
  <si>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</si>
  <si>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</si>
  <si>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</si>
  <si>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</si>
  <si>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</si>
  <si>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</si>
  <si>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</si>
  <si>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</si>
  <si>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</si>
  <si>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</si>
  <si>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</si>
  <si>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</si>
  <si>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</si>
  <si>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</si>
  <si>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</si>
  <si>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</si>
  <si>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</si>
  <si>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</si>
  <si>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</si>
  <si>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</si>
  <si>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</si>
  <si>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</si>
  <si>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</si>
  <si>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</si>
  <si>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</si>
  <si>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</si>
  <si>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</si>
  <si>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</si>
  <si>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</si>
  <si>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</si>
  <si>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</si>
  <si>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</si>
  <si>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</si>
  <si>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</si>
  <si>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</si>
  <si>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</si>
  <si>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</si>
  <si>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</si>
  <si>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</si>
  <si>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</si>
  <si>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</si>
  <si>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</si>
  <si>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</si>
  <si>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</si>
  <si>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</si>
  <si>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</si>
  <si>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</si>
  <si>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</si>
  <si>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</si>
  <si>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</si>
  <si>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</si>
  <si>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</si>
  <si>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</si>
  <si>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</si>
  <si>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</si>
  <si>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</si>
  <si>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</si>
  <si>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</si>
  <si>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</si>
  <si>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</si>
  <si>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</si>
  <si>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</si>
  <si>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</si>
  <si>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</si>
  <si>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</si>
  <si>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</si>
  <si>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</si>
  <si>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</si>
  <si>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</si>
  <si>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</si>
  <si>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</si>
  <si>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</si>
  <si>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</si>
  <si>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</si>
  <si>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</si>
  <si>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</si>
  <si>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</si>
  <si>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</si>
  <si>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Total Game Pass</t>
  </si>
  <si>
    <t>Total EA Play</t>
  </si>
  <si>
    <t>Total Minecraft</t>
  </si>
  <si>
    <t>&gt; bem vinda, Liana</t>
  </si>
  <si>
    <t>XBOX GAME PASS SUBSCRIPTIONS SALES</t>
  </si>
  <si>
    <t>TOTAL SUBSCRIPTIONS EA PLAY SEASON PASS</t>
  </si>
  <si>
    <t>TOTAL SUBSCRIPTIONS MINECRAFT SEASON PASS</t>
  </si>
  <si>
    <t>TOTAL SUBSCRIPTIONS XBOX GAME PASS</t>
  </si>
  <si>
    <t>Cálculos – Tabelas Dinâmicas (conectadas à segmentação Subscription Type)</t>
  </si>
  <si>
    <t>Game Pass por Auto Renewal</t>
  </si>
  <si>
    <t>Base do gráfico (vinculada à tbl_gamepass_total)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</si>
</sst>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7" formatCode="&quot;R$&quot;\ #.##000"/>
    <numFmt numFmtId="168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107C10"/>
      <name val="Aptos Narrow"/>
      <family val="2"/>
      <scheme val="minor"/>
    </font>
    <font>
      <b/>
      <sz val="16"/>
      <color rgb="FF22C55E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26"/>
      <color rgb="FF22C55E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rgb="FF22C55E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4" borderId="0" xfId="0" applyFont="1" applyFill="1"/>
    <xf numFmtId="0" fontId="3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0" fillId="8" borderId="0" xfId="0" applyFill="1"/>
    <xf numFmtId="0" fontId="0" fillId="8" borderId="2" xfId="0" applyFill="1" applyBorder="1"/>
    <xf numFmtId="0" fontId="7" fillId="4" borderId="0" xfId="0" applyFont="1" applyFill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68" fontId="0" fillId="0" borderId="0" xfId="0" applyNumberFormat="1"/>
    <xf numFmtId="0" fontId="4" fillId="4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0" fillId="8" borderId="0" xfId="0" applyFill="1" applyBorder="1"/>
    <xf numFmtId="0" fontId="6" fillId="0" borderId="0" xfId="0" applyFont="1" applyBorder="1" applyAlignment="1">
      <alignment vertical="center"/>
    </xf>
    <xf numFmtId="0" fontId="4" fillId="4" borderId="0" xfId="0" applyFont="1" applyFill="1" applyAlignment="1">
      <alignment horizontal="center"/>
    </xf>
    <xf numFmtId="0" fontId="9" fillId="0" borderId="0" xfId="0" applyFont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C̳álculos!$G$3</c:f>
              <c:strCache>
                <c:ptCount val="1"/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C̳álculos!$A$13:$A$14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C̳álculos!$B$13:$B$14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4-44D2-9C02-1CC0CE284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17673311"/>
        <c:axId val="384502223"/>
      </c:barChart>
      <c:catAx>
        <c:axId val="417673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4502223"/>
        <c:crosses val="autoZero"/>
        <c:auto val="1"/>
        <c:lblAlgn val="ctr"/>
        <c:lblOffset val="100"/>
        <c:noMultiLvlLbl val="0"/>
      </c:catAx>
      <c:valAx>
        <c:axId val="384502223"/>
        <c:scaling>
          <c:orientation val="minMax"/>
          <c:min val="0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41767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FAFAFA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chart" Target="../charts/chart1.xml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177800</xdr:rowOff>
    </xdr:from>
    <xdr:to>
      <xdr:col>7</xdr:col>
      <xdr:colOff>48034</xdr:colOff>
      <xdr:row>2</xdr:row>
      <xdr:rowOff>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7C5C6FD-71D1-46D4-9B65-38D383EDF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0" y="177800"/>
          <a:ext cx="1500597" cy="33020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5</xdr:row>
      <xdr:rowOff>177800</xdr:rowOff>
    </xdr:from>
    <xdr:to>
      <xdr:col>6</xdr:col>
      <xdr:colOff>403225</xdr:colOff>
      <xdr:row>7</xdr:row>
      <xdr:rowOff>174625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16ADC2B-A938-4197-AF36-39243E6C6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2400" y="1574800"/>
          <a:ext cx="1219200" cy="711200"/>
        </a:xfrm>
        <a:prstGeom prst="rect">
          <a:avLst/>
        </a:prstGeom>
      </xdr:spPr>
    </xdr:pic>
    <xdr:clientData/>
  </xdr:twoCellAnchor>
  <xdr:twoCellAnchor editAs="absolute">
    <xdr:from>
      <xdr:col>13</xdr:col>
      <xdr:colOff>139700</xdr:colOff>
      <xdr:row>5</xdr:row>
      <xdr:rowOff>152400</xdr:rowOff>
    </xdr:from>
    <xdr:to>
      <xdr:col>16</xdr:col>
      <xdr:colOff>236613</xdr:colOff>
      <xdr:row>7</xdr:row>
      <xdr:rowOff>200025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E36C8125-4C8D-4301-A793-A523027AEADB}"/>
            </a:ext>
          </a:extLst>
        </xdr:cNvPr>
        <xdr:cNvGrpSpPr>
          <a:grpSpLocks noChangeAspect="1"/>
        </xdr:cNvGrpSpPr>
      </xdr:nvGrpSpPr>
      <xdr:grpSpPr>
        <a:xfrm>
          <a:off x="6807200" y="1549400"/>
          <a:ext cx="1549476" cy="762000"/>
          <a:chOff x="3495675" y="5400674"/>
          <a:chExt cx="1549476" cy="752476"/>
        </a:xfrm>
      </xdr:grpSpPr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8C928F68-40CF-7396-4EDC-439BBC7F41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7141E566-89C0-2158-904A-AEC4C762D9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635000</xdr:colOff>
      <xdr:row>0</xdr:row>
      <xdr:rowOff>152400</xdr:rowOff>
    </xdr:from>
    <xdr:to>
      <xdr:col>2</xdr:col>
      <xdr:colOff>127000</xdr:colOff>
      <xdr:row>4</xdr:row>
      <xdr:rowOff>152400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08AC2E8C-3051-4474-9C59-80AD84DE80A1}"/>
            </a:ext>
          </a:extLst>
        </xdr:cNvPr>
        <xdr:cNvSpPr>
          <a:spLocks/>
        </xdr:cNvSpPr>
      </xdr:nvSpPr>
      <xdr:spPr>
        <a:xfrm>
          <a:off x="635000" y="152400"/>
          <a:ext cx="1016000" cy="101600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4</xdr:col>
      <xdr:colOff>0</xdr:colOff>
      <xdr:row>9</xdr:row>
      <xdr:rowOff>380999</xdr:rowOff>
    </xdr:from>
    <xdr:to>
      <xdr:col>21</xdr:col>
      <xdr:colOff>0</xdr:colOff>
      <xdr:row>29</xdr:row>
      <xdr:rowOff>190499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536573F8-547B-C1E7-5847-842836307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50800</xdr:colOff>
      <xdr:row>8</xdr:row>
      <xdr:rowOff>274637</xdr:rowOff>
    </xdr:from>
    <xdr:to>
      <xdr:col>2</xdr:col>
      <xdr:colOff>711200</xdr:colOff>
      <xdr:row>16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Subscription Type">
              <a:extLst>
                <a:ext uri="{FF2B5EF4-FFF2-40B4-BE49-F238E27FC236}">
                  <a16:creationId xmlns:a16="http://schemas.microsoft.com/office/drawing/2014/main" id="{A8947E40-2E84-8A5A-0E8D-AEEFA651E8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" y="2743200"/>
              <a:ext cx="2184400" cy="165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Vieira" refreshedDate="46292.489077430553" createdVersion="8" refreshedVersion="8" minRefreshableVersion="3" recordCount="295" xr:uid="{BDB8F9CB-9606-4FEA-B4E9-425371B9C97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207756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d v="2024-01-01T00:00:00"/>
    <x v="0"/>
    <n v="15"/>
    <x v="0"/>
    <s v="Yes"/>
    <n v="30"/>
    <s v="Yes"/>
    <n v="20"/>
    <n v="5"/>
    <n v="60"/>
  </r>
  <r>
    <n v="3232"/>
    <s v="Maria Oliveira"/>
    <s v="Core"/>
    <d v="2024-01-15T00:00:00"/>
    <x v="1"/>
    <n v="5"/>
    <x v="1"/>
    <s v="No"/>
    <s v="-"/>
    <s v="No"/>
    <n v="0"/>
    <n v="0"/>
    <n v="5"/>
  </r>
  <r>
    <n v="3233"/>
    <s v="Lucas Fernandes"/>
    <s v="Standard"/>
    <d v="2024-02-10T00:00:00"/>
    <x v="0"/>
    <n v="10"/>
    <x v="2"/>
    <s v="No"/>
    <s v="-"/>
    <s v="Yes"/>
    <n v="20"/>
    <n v="10"/>
    <n v="20"/>
  </r>
  <r>
    <n v="3234"/>
    <s v="Ana Souza"/>
    <s v="Ultimate"/>
    <d v="2024-02-20T00:00:00"/>
    <x v="1"/>
    <n v="15"/>
    <x v="0"/>
    <s v="Yes"/>
    <n v="30"/>
    <s v="Yes"/>
    <n v="20"/>
    <n v="3"/>
    <n v="62"/>
  </r>
  <r>
    <n v="3235"/>
    <s v="Pedro Gonçalves"/>
    <s v="Core"/>
    <d v="2024-03-05T00:00:00"/>
    <x v="0"/>
    <n v="5"/>
    <x v="0"/>
    <s v="No"/>
    <s v="-"/>
    <s v="No"/>
    <n v="0"/>
    <n v="1"/>
    <n v="4"/>
  </r>
  <r>
    <n v="3236"/>
    <s v="Felipe Costa"/>
    <s v="Standard"/>
    <d v="2024-03-02T00:00:00"/>
    <x v="1"/>
    <n v="10"/>
    <x v="0"/>
    <s v="No"/>
    <s v="-"/>
    <s v="Yes"/>
    <n v="20"/>
    <n v="2"/>
    <n v="28"/>
  </r>
  <r>
    <n v="3237"/>
    <s v="Camila Ribeiro"/>
    <s v="Ultimate"/>
    <d v="2024-03-03T00:00:00"/>
    <x v="0"/>
    <n v="15"/>
    <x v="2"/>
    <s v="Yes"/>
    <n v="30"/>
    <s v="Yes"/>
    <n v="20"/>
    <n v="10"/>
    <n v="55"/>
  </r>
  <r>
    <n v="3238"/>
    <s v="André Mendes"/>
    <s v="Core"/>
    <d v="2024-03-04T00:00:00"/>
    <x v="0"/>
    <n v="5"/>
    <x v="1"/>
    <s v="No"/>
    <s v="-"/>
    <s v="No"/>
    <n v="0"/>
    <n v="0"/>
    <n v="5"/>
  </r>
  <r>
    <n v="3239"/>
    <s v="Sofia Almeida"/>
    <s v="Ultimate"/>
    <d v="2024-03-05T00:00:00"/>
    <x v="1"/>
    <n v="15"/>
    <x v="0"/>
    <s v="Yes"/>
    <n v="30"/>
    <s v="Yes"/>
    <n v="20"/>
    <n v="5"/>
    <n v="60"/>
  </r>
  <r>
    <n v="3240"/>
    <s v="Bruno Martins"/>
    <s v="Standard"/>
    <d v="2024-03-06T00:00:00"/>
    <x v="0"/>
    <n v="10"/>
    <x v="2"/>
    <s v="No"/>
    <s v="-"/>
    <s v="Yes"/>
    <n v="20"/>
    <n v="15"/>
    <n v="15"/>
  </r>
  <r>
    <n v="3241"/>
    <s v="Rita Castro"/>
    <s v="Core"/>
    <d v="2024-03-07T00:00:00"/>
    <x v="1"/>
    <n v="5"/>
    <x v="0"/>
    <s v="No"/>
    <s v="-"/>
    <s v="No"/>
    <n v="0"/>
    <n v="1"/>
    <n v="4"/>
  </r>
  <r>
    <n v="3242"/>
    <s v="Marco Túlio"/>
    <s v="Ultimate"/>
    <d v="2024-03-08T00:00:00"/>
    <x v="0"/>
    <n v="15"/>
    <x v="1"/>
    <s v="Yes"/>
    <n v="30"/>
    <s v="Yes"/>
    <n v="20"/>
    <n v="20"/>
    <n v="45"/>
  </r>
  <r>
    <n v="3243"/>
    <s v="Lívia Silveira"/>
    <s v="Standard"/>
    <d v="2024-03-09T00:00:00"/>
    <x v="1"/>
    <n v="10"/>
    <x v="0"/>
    <s v="No"/>
    <s v="-"/>
    <s v="Yes"/>
    <n v="20"/>
    <n v="10"/>
    <n v="20"/>
  </r>
  <r>
    <n v="3244"/>
    <s v="Diogo Sousa"/>
    <s v="Core"/>
    <d v="2024-03-10T00:00:00"/>
    <x v="0"/>
    <n v="5"/>
    <x v="2"/>
    <s v="No"/>
    <s v="-"/>
    <s v="No"/>
    <n v="0"/>
    <n v="0"/>
    <n v="5"/>
  </r>
  <r>
    <n v="3245"/>
    <s v="Fernanda Lima"/>
    <s v="Ultimate"/>
    <d v="2024-03-11T00:00:00"/>
    <x v="1"/>
    <n v="15"/>
    <x v="0"/>
    <s v="Yes"/>
    <n v="30"/>
    <s v="Yes"/>
    <n v="20"/>
    <n v="8"/>
    <n v="57"/>
  </r>
  <r>
    <n v="3246"/>
    <s v="Caio Pereira"/>
    <s v="Standard"/>
    <d v="2024-03-12T00:00:00"/>
    <x v="0"/>
    <n v="10"/>
    <x v="1"/>
    <s v="No"/>
    <s v="-"/>
    <s v="Yes"/>
    <n v="20"/>
    <n v="12"/>
    <n v="18"/>
  </r>
  <r>
    <n v="3247"/>
    <s v="Beatriz Gomes"/>
    <s v="Core"/>
    <d v="2024-03-13T00:00:00"/>
    <x v="1"/>
    <n v="5"/>
    <x v="0"/>
    <s v="No"/>
    <s v="-"/>
    <s v="No"/>
    <n v="0"/>
    <n v="2"/>
    <n v="3"/>
  </r>
  <r>
    <n v="3248"/>
    <s v="Cesar Oliveira"/>
    <s v="Ultimate"/>
    <d v="2024-03-14T00:00:00"/>
    <x v="0"/>
    <n v="15"/>
    <x v="2"/>
    <s v="Yes"/>
    <n v="30"/>
    <s v="Yes"/>
    <n v="20"/>
    <n v="7"/>
    <n v="58"/>
  </r>
  <r>
    <n v="3249"/>
    <s v="Débora Machado"/>
    <s v="Standard"/>
    <d v="2024-03-15T00:00:00"/>
    <x v="1"/>
    <n v="10"/>
    <x v="0"/>
    <s v="No"/>
    <s v="-"/>
    <s v="Yes"/>
    <n v="20"/>
    <n v="5"/>
    <n v="25"/>
  </r>
  <r>
    <n v="3250"/>
    <s v="Eduardo Vargas"/>
    <s v="Core"/>
    <d v="2024-03-16T00:00:00"/>
    <x v="0"/>
    <n v="5"/>
    <x v="1"/>
    <s v="No"/>
    <s v="-"/>
    <s v="No"/>
    <n v="0"/>
    <n v="0"/>
    <n v="5"/>
  </r>
  <r>
    <n v="3251"/>
    <s v="Gabriela Santos"/>
    <s v="Ultimate"/>
    <d v="2024-03-17T00:00:00"/>
    <x v="1"/>
    <n v="15"/>
    <x v="0"/>
    <s v="Yes"/>
    <n v="30"/>
    <s v="Yes"/>
    <n v="20"/>
    <n v="3"/>
    <n v="62"/>
  </r>
  <r>
    <n v="3252"/>
    <s v="Henrique Dias"/>
    <s v="Standard"/>
    <d v="2024-03-18T00:00:00"/>
    <x v="0"/>
    <n v="10"/>
    <x v="2"/>
    <s v="No"/>
    <s v="-"/>
    <s v="Yes"/>
    <n v="20"/>
    <n v="15"/>
    <n v="15"/>
  </r>
  <r>
    <n v="3253"/>
    <s v="Isabela Moreira"/>
    <s v="Core"/>
    <d v="2024-03-19T00:00:00"/>
    <x v="1"/>
    <n v="5"/>
    <x v="0"/>
    <s v="No"/>
    <s v="-"/>
    <s v="No"/>
    <n v="0"/>
    <n v="1"/>
    <n v="4"/>
  </r>
  <r>
    <n v="3254"/>
    <s v="Joaquim Barbosa"/>
    <s v="Ultimate"/>
    <d v="2024-03-20T00:00:00"/>
    <x v="0"/>
    <n v="15"/>
    <x v="1"/>
    <s v="Yes"/>
    <n v="30"/>
    <s v="Yes"/>
    <n v="20"/>
    <n v="20"/>
    <n v="45"/>
  </r>
  <r>
    <n v="3255"/>
    <s v="Lara Rocha"/>
    <s v="Standard"/>
    <d v="2024-03-21T00:00:00"/>
    <x v="1"/>
    <n v="10"/>
    <x v="0"/>
    <s v="No"/>
    <s v="-"/>
    <s v="Yes"/>
    <n v="20"/>
    <n v="10"/>
    <n v="20"/>
  </r>
  <r>
    <n v="3256"/>
    <s v="Matheus Silva"/>
    <s v="Core"/>
    <d v="2024-03-22T00:00:00"/>
    <x v="0"/>
    <n v="5"/>
    <x v="2"/>
    <s v="No"/>
    <s v="-"/>
    <s v="No"/>
    <n v="0"/>
    <n v="0"/>
    <n v="5"/>
  </r>
  <r>
    <n v="3257"/>
    <s v="Nicole Costa"/>
    <s v="Ultimate"/>
    <d v="2024-03-23T00:00:00"/>
    <x v="1"/>
    <n v="15"/>
    <x v="0"/>
    <s v="Yes"/>
    <n v="30"/>
    <s v="Yes"/>
    <n v="20"/>
    <n v="5"/>
    <n v="60"/>
  </r>
  <r>
    <n v="3258"/>
    <s v="Otávio Mendonça"/>
    <s v="Standard"/>
    <d v="2024-03-24T00:00:00"/>
    <x v="0"/>
    <n v="10"/>
    <x v="1"/>
    <s v="No"/>
    <s v="-"/>
    <s v="Yes"/>
    <n v="20"/>
    <n v="15"/>
    <n v="15"/>
  </r>
  <r>
    <n v="3259"/>
    <s v="Paula Ferreira"/>
    <s v="Core"/>
    <d v="2024-03-25T00:00:00"/>
    <x v="1"/>
    <n v="5"/>
    <x v="0"/>
    <s v="No"/>
    <s v="-"/>
    <s v="No"/>
    <n v="0"/>
    <n v="1"/>
    <n v="4"/>
  </r>
  <r>
    <n v="3260"/>
    <s v="Raquel Alves"/>
    <s v="Ultimate"/>
    <d v="2024-03-26T00:00:00"/>
    <x v="0"/>
    <n v="15"/>
    <x v="2"/>
    <s v="Yes"/>
    <n v="30"/>
    <s v="Yes"/>
    <n v="20"/>
    <n v="7"/>
    <n v="58"/>
  </r>
  <r>
    <n v="3261"/>
    <s v="Samuel Pires"/>
    <s v="Standard"/>
    <d v="2024-03-27T00:00:00"/>
    <x v="1"/>
    <n v="10"/>
    <x v="0"/>
    <s v="No"/>
    <s v="-"/>
    <s v="Yes"/>
    <n v="20"/>
    <n v="10"/>
    <n v="20"/>
  </r>
  <r>
    <n v="3262"/>
    <s v="Tânia Barros"/>
    <s v="Core"/>
    <d v="2024-03-28T00:00:00"/>
    <x v="0"/>
    <n v="5"/>
    <x v="1"/>
    <s v="No"/>
    <s v="-"/>
    <s v="No"/>
    <n v="0"/>
    <n v="0"/>
    <n v="5"/>
  </r>
  <r>
    <n v="3263"/>
    <s v="Vinicius Lima"/>
    <s v="Ultimate"/>
    <d v="2024-03-29T00:00:00"/>
    <x v="1"/>
    <n v="15"/>
    <x v="0"/>
    <s v="Yes"/>
    <n v="30"/>
    <s v="Yes"/>
    <n v="20"/>
    <n v="3"/>
    <n v="62"/>
  </r>
  <r>
    <n v="3264"/>
    <s v="Yasmin Teixeira"/>
    <s v="Standard"/>
    <d v="2024-03-30T00:00:00"/>
    <x v="0"/>
    <n v="10"/>
    <x v="2"/>
    <s v="No"/>
    <s v="-"/>
    <s v="Yes"/>
    <n v="20"/>
    <n v="15"/>
    <n v="15"/>
  </r>
  <r>
    <n v="3265"/>
    <s v="Zé Carlos"/>
    <s v="Core"/>
    <d v="2024-03-31T00:00:00"/>
    <x v="1"/>
    <n v="5"/>
    <x v="0"/>
    <s v="No"/>
    <s v="-"/>
    <s v="No"/>
    <n v="0"/>
    <n v="1"/>
    <n v="4"/>
  </r>
  <r>
    <n v="3266"/>
    <s v="Amanda Nogueira"/>
    <s v="Core"/>
    <d v="2024-04-01T00:00:00"/>
    <x v="0"/>
    <n v="5"/>
    <x v="0"/>
    <s v="No"/>
    <s v="-"/>
    <s v="No"/>
    <n v="0"/>
    <n v="0"/>
    <n v="5"/>
  </r>
  <r>
    <n v="3267"/>
    <s v="Bruno Cavalheiro"/>
    <s v="Ultimate"/>
    <d v="2024-04-02T00:00:00"/>
    <x v="1"/>
    <n v="15"/>
    <x v="2"/>
    <s v="Yes"/>
    <n v="30"/>
    <s v="Yes"/>
    <n v="20"/>
    <n v="7"/>
    <n v="58"/>
  </r>
  <r>
    <n v="3268"/>
    <s v="Carla Dias"/>
    <s v="Standard"/>
    <d v="2024-04-03T00:00:00"/>
    <x v="0"/>
    <n v="10"/>
    <x v="1"/>
    <s v="No"/>
    <s v="-"/>
    <s v="Yes"/>
    <n v="20"/>
    <n v="10"/>
    <n v="20"/>
  </r>
  <r>
    <n v="3269"/>
    <s v="Diego Fontes"/>
    <s v="Core"/>
    <d v="2024-04-04T00:00:00"/>
    <x v="1"/>
    <n v="5"/>
    <x v="2"/>
    <s v="No"/>
    <s v="-"/>
    <s v="No"/>
    <n v="0"/>
    <n v="1"/>
    <n v="4"/>
  </r>
  <r>
    <n v="3270"/>
    <s v="Eunice Lima"/>
    <s v="Ultimate"/>
    <d v="2024-04-05T00:00:00"/>
    <x v="0"/>
    <n v="15"/>
    <x v="0"/>
    <s v="Yes"/>
    <n v="30"/>
    <s v="Yes"/>
    <n v="20"/>
    <n v="15"/>
    <n v="50"/>
  </r>
  <r>
    <n v="3271"/>
    <s v="Fábio Martins"/>
    <s v="Standard"/>
    <d v="2024-04-06T00:00:00"/>
    <x v="1"/>
    <n v="10"/>
    <x v="0"/>
    <s v="No"/>
    <s v="-"/>
    <s v="Yes"/>
    <n v="20"/>
    <n v="5"/>
    <n v="25"/>
  </r>
  <r>
    <n v="3272"/>
    <s v="Gisele Araújo"/>
    <s v="Core"/>
    <d v="2024-04-07T00:00:00"/>
    <x v="0"/>
    <n v="5"/>
    <x v="1"/>
    <s v="No"/>
    <s v="-"/>
    <s v="No"/>
    <n v="0"/>
    <n v="0"/>
    <n v="5"/>
  </r>
  <r>
    <n v="3273"/>
    <s v="Hélio Castro"/>
    <s v="Ultimate"/>
    <d v="2024-04-08T00:00:00"/>
    <x v="1"/>
    <n v="15"/>
    <x v="2"/>
    <s v="Yes"/>
    <n v="30"/>
    <s v="Yes"/>
    <n v="20"/>
    <n v="20"/>
    <n v="45"/>
  </r>
  <r>
    <n v="3274"/>
    <s v="Ingrid Menezes"/>
    <s v="Standard"/>
    <d v="2024-04-09T00:00:00"/>
    <x v="0"/>
    <n v="10"/>
    <x v="2"/>
    <s v="No"/>
    <s v="-"/>
    <s v="Yes"/>
    <n v="20"/>
    <n v="12"/>
    <n v="18"/>
  </r>
  <r>
    <n v="3275"/>
    <s v="Jorge Baptista"/>
    <s v="Core"/>
    <d v="2024-04-10T00:00:00"/>
    <x v="1"/>
    <n v="5"/>
    <x v="0"/>
    <s v="No"/>
    <s v="-"/>
    <s v="No"/>
    <n v="0"/>
    <n v="2"/>
    <n v="3"/>
  </r>
  <r>
    <n v="3276"/>
    <s v="Kléber Oliveira"/>
    <s v="Ultimate"/>
    <d v="2024-04-11T00:00:00"/>
    <x v="0"/>
    <n v="15"/>
    <x v="1"/>
    <s v="Yes"/>
    <n v="30"/>
    <s v="Yes"/>
    <n v="20"/>
    <n v="5"/>
    <n v="60"/>
  </r>
  <r>
    <n v="3277"/>
    <s v="Luciana Freitas"/>
    <s v="Standard"/>
    <d v="2024-04-12T00:00:00"/>
    <x v="1"/>
    <n v="10"/>
    <x v="0"/>
    <s v="No"/>
    <s v="-"/>
    <s v="Yes"/>
    <n v="20"/>
    <n v="10"/>
    <n v="20"/>
  </r>
  <r>
    <n v="3278"/>
    <s v="Márcia Eller"/>
    <s v="Core"/>
    <d v="2024-04-13T00:00:00"/>
    <x v="0"/>
    <n v="5"/>
    <x v="2"/>
    <s v="No"/>
    <s v="-"/>
    <s v="No"/>
    <n v="0"/>
    <n v="0"/>
    <n v="5"/>
  </r>
  <r>
    <n v="3279"/>
    <s v="Nilo Peçanha"/>
    <s v="Ultimate"/>
    <d v="2024-04-14T00:00:00"/>
    <x v="1"/>
    <n v="15"/>
    <x v="0"/>
    <s v="Yes"/>
    <n v="30"/>
    <s v="Yes"/>
    <n v="20"/>
    <n v="3"/>
    <n v="62"/>
  </r>
  <r>
    <n v="3280"/>
    <s v="Oscar Neves"/>
    <s v="Standard"/>
    <d v="2024-04-15T00:00:00"/>
    <x v="0"/>
    <n v="10"/>
    <x v="1"/>
    <s v="No"/>
    <s v="-"/>
    <s v="Yes"/>
    <n v="20"/>
    <n v="15"/>
    <n v="15"/>
  </r>
  <r>
    <n v="3281"/>
    <s v="Patrícia Soares"/>
    <s v="Core"/>
    <d v="2024-04-16T00:00:00"/>
    <x v="1"/>
    <n v="5"/>
    <x v="0"/>
    <s v="No"/>
    <s v="-"/>
    <s v="No"/>
    <n v="0"/>
    <n v="1"/>
    <n v="4"/>
  </r>
  <r>
    <n v="3282"/>
    <s v="Quirino Gonçalves"/>
    <s v="Ultimate"/>
    <d v="2024-04-17T00:00:00"/>
    <x v="0"/>
    <n v="15"/>
    <x v="2"/>
    <s v="Yes"/>
    <n v="30"/>
    <s v="Yes"/>
    <n v="20"/>
    <n v="7"/>
    <n v="58"/>
  </r>
  <r>
    <n v="3283"/>
    <s v="Raul Machado"/>
    <s v="Standard"/>
    <d v="2024-04-18T00:00:00"/>
    <x v="1"/>
    <n v="10"/>
    <x v="0"/>
    <s v="No"/>
    <s v="-"/>
    <s v="Yes"/>
    <n v="20"/>
    <n v="10"/>
    <n v="20"/>
  </r>
  <r>
    <n v="3284"/>
    <s v="Sônia Lobo"/>
    <s v="Core"/>
    <d v="2024-04-19T00:00:00"/>
    <x v="0"/>
    <n v="5"/>
    <x v="1"/>
    <s v="No"/>
    <s v="-"/>
    <s v="No"/>
    <n v="0"/>
    <n v="0"/>
    <n v="5"/>
  </r>
  <r>
    <n v="3285"/>
    <s v="Tiago Ramos"/>
    <s v="Ultimate"/>
    <d v="2024-04-20T00:00:00"/>
    <x v="1"/>
    <n v="15"/>
    <x v="0"/>
    <s v="Yes"/>
    <n v="30"/>
    <s v="Yes"/>
    <n v="20"/>
    <n v="20"/>
    <n v="45"/>
  </r>
  <r>
    <n v="3286"/>
    <s v="Ugo Pires"/>
    <s v="Standard"/>
    <d v="2024-04-21T00:00:00"/>
    <x v="0"/>
    <n v="10"/>
    <x v="2"/>
    <s v="No"/>
    <s v="-"/>
    <s v="Yes"/>
    <n v="20"/>
    <n v="15"/>
    <n v="15"/>
  </r>
  <r>
    <n v="3287"/>
    <s v="Valéria Nobre"/>
    <s v="Core"/>
    <d v="2024-04-22T00:00:00"/>
    <x v="1"/>
    <n v="5"/>
    <x v="0"/>
    <s v="No"/>
    <s v="-"/>
    <s v="No"/>
    <n v="0"/>
    <n v="1"/>
    <n v="4"/>
  </r>
  <r>
    <n v="3288"/>
    <s v="William Siqueira"/>
    <s v="Ultimate"/>
    <d v="2024-04-23T00:00:00"/>
    <x v="0"/>
    <n v="15"/>
    <x v="1"/>
    <s v="Yes"/>
    <n v="30"/>
    <s v="Yes"/>
    <n v="20"/>
    <n v="3"/>
    <n v="62"/>
  </r>
  <r>
    <n v="3289"/>
    <s v="Xuxa Meneghel"/>
    <s v="Standard"/>
    <d v="2024-04-24T00:00:00"/>
    <x v="1"/>
    <n v="10"/>
    <x v="0"/>
    <s v="No"/>
    <s v="-"/>
    <s v="Yes"/>
    <n v="20"/>
    <n v="10"/>
    <n v="20"/>
  </r>
  <r>
    <n v="3290"/>
    <s v="Yara Figueiredo"/>
    <s v="Core"/>
    <d v="2024-04-25T00:00:00"/>
    <x v="0"/>
    <n v="5"/>
    <x v="2"/>
    <s v="No"/>
    <s v="-"/>
    <s v="No"/>
    <n v="0"/>
    <n v="0"/>
    <n v="5"/>
  </r>
  <r>
    <n v="3291"/>
    <s v="Zacarias Alves"/>
    <s v="Ultimate"/>
    <d v="2024-04-26T00:00:00"/>
    <x v="1"/>
    <n v="15"/>
    <x v="0"/>
    <s v="Yes"/>
    <n v="30"/>
    <s v="Yes"/>
    <n v="20"/>
    <n v="5"/>
    <n v="60"/>
  </r>
  <r>
    <n v="3292"/>
    <s v="Amanda Bynes"/>
    <s v="Standard"/>
    <d v="2024-04-27T00:00:00"/>
    <x v="0"/>
    <n v="10"/>
    <x v="1"/>
    <s v="No"/>
    <s v="-"/>
    <s v="Yes"/>
    <n v="20"/>
    <n v="15"/>
    <n v="15"/>
  </r>
  <r>
    <n v="3293"/>
    <s v="Bruno Mars"/>
    <s v="Core"/>
    <d v="2024-04-28T00:00:00"/>
    <x v="1"/>
    <n v="5"/>
    <x v="0"/>
    <s v="No"/>
    <s v="-"/>
    <s v="No"/>
    <n v="0"/>
    <n v="1"/>
    <n v="4"/>
  </r>
  <r>
    <n v="3294"/>
    <s v="Carla Bruni"/>
    <s v="Ultimate"/>
    <d v="2024-04-29T00:00:00"/>
    <x v="0"/>
    <n v="15"/>
    <x v="2"/>
    <s v="Yes"/>
    <n v="30"/>
    <s v="Yes"/>
    <n v="20"/>
    <n v="20"/>
    <n v="45"/>
  </r>
  <r>
    <n v="3295"/>
    <s v="Diego Maradona"/>
    <s v="Standard"/>
    <d v="2024-04-30T00:00:00"/>
    <x v="1"/>
    <n v="10"/>
    <x v="0"/>
    <s v="No"/>
    <s v="-"/>
    <s v="Yes"/>
    <n v="20"/>
    <n v="5"/>
    <n v="25"/>
  </r>
  <r>
    <n v="3296"/>
    <s v="Estela Marques"/>
    <s v="Core"/>
    <d v="2024-05-01T00:00:00"/>
    <x v="1"/>
    <n v="5"/>
    <x v="0"/>
    <s v="No"/>
    <s v="-"/>
    <s v="No"/>
    <n v="0"/>
    <n v="0"/>
    <n v="5"/>
  </r>
  <r>
    <n v="3297"/>
    <s v="Fábio Nobre"/>
    <s v="Ultimate"/>
    <d v="2024-05-02T00:00:00"/>
    <x v="0"/>
    <n v="15"/>
    <x v="2"/>
    <s v="Yes"/>
    <n v="30"/>
    <s v="Yes"/>
    <n v="20"/>
    <n v="7"/>
    <n v="58"/>
  </r>
  <r>
    <n v="3298"/>
    <s v="Gabriel Oliveira"/>
    <s v="Standard"/>
    <d v="2024-05-03T00:00:00"/>
    <x v="1"/>
    <n v="10"/>
    <x v="1"/>
    <s v="No"/>
    <s v="-"/>
    <s v="Yes"/>
    <n v="20"/>
    <n v="10"/>
    <n v="20"/>
  </r>
  <r>
    <n v="3299"/>
    <s v="Helena Santos"/>
    <s v="Core"/>
    <d v="2024-05-04T00:00:00"/>
    <x v="0"/>
    <n v="5"/>
    <x v="2"/>
    <s v="No"/>
    <s v="-"/>
    <s v="No"/>
    <n v="0"/>
    <n v="1"/>
    <n v="4"/>
  </r>
  <r>
    <n v="3300"/>
    <s v="Ivan Carvalho"/>
    <s v="Ultimate"/>
    <d v="2024-05-05T00:00:00"/>
    <x v="1"/>
    <n v="15"/>
    <x v="0"/>
    <s v="Yes"/>
    <n v="30"/>
    <s v="Yes"/>
    <n v="20"/>
    <n v="15"/>
    <n v="50"/>
  </r>
  <r>
    <n v="3301"/>
    <s v="Júlia Ferreira"/>
    <s v="Standard"/>
    <d v="2024-05-06T00:00:00"/>
    <x v="0"/>
    <n v="10"/>
    <x v="0"/>
    <s v="No"/>
    <s v="-"/>
    <s v="Yes"/>
    <n v="20"/>
    <n v="5"/>
    <n v="25"/>
  </r>
  <r>
    <n v="3302"/>
    <s v="Karla Alves"/>
    <s v="Core"/>
    <d v="2024-05-07T00:00:00"/>
    <x v="1"/>
    <n v="5"/>
    <x v="1"/>
    <s v="No"/>
    <s v="-"/>
    <s v="No"/>
    <n v="0"/>
    <n v="0"/>
    <n v="5"/>
  </r>
  <r>
    <n v="3303"/>
    <s v="Lucas Mendes"/>
    <s v="Ultimate"/>
    <d v="2024-05-08T00:00:00"/>
    <x v="0"/>
    <n v="15"/>
    <x v="2"/>
    <s v="Yes"/>
    <n v="30"/>
    <s v="Yes"/>
    <n v="20"/>
    <n v="20"/>
    <n v="45"/>
  </r>
  <r>
    <n v="3304"/>
    <s v="Mônica Gomes"/>
    <s v="Standard"/>
    <d v="2024-05-09T00:00:00"/>
    <x v="1"/>
    <n v="10"/>
    <x v="2"/>
    <s v="No"/>
    <s v="-"/>
    <s v="Yes"/>
    <n v="20"/>
    <n v="12"/>
    <n v="18"/>
  </r>
  <r>
    <n v="3305"/>
    <s v="Norberto Queiroz"/>
    <s v="Core"/>
    <d v="2024-05-10T00:00:00"/>
    <x v="0"/>
    <n v="5"/>
    <x v="0"/>
    <s v="No"/>
    <s v="-"/>
    <s v="No"/>
    <n v="0"/>
    <n v="2"/>
    <n v="3"/>
  </r>
  <r>
    <n v="3306"/>
    <s v="Otávio Barros"/>
    <s v="Ultimate"/>
    <d v="2024-05-11T00:00:00"/>
    <x v="1"/>
    <n v="15"/>
    <x v="1"/>
    <s v="Yes"/>
    <n v="30"/>
    <s v="Yes"/>
    <n v="20"/>
    <n v="5"/>
    <n v="60"/>
  </r>
  <r>
    <n v="3307"/>
    <s v="Paula Vieira"/>
    <s v="Standard"/>
    <d v="2024-05-12T00:00:00"/>
    <x v="0"/>
    <n v="10"/>
    <x v="0"/>
    <s v="No"/>
    <s v="-"/>
    <s v="Yes"/>
    <n v="20"/>
    <n v="10"/>
    <n v="20"/>
  </r>
  <r>
    <n v="3308"/>
    <s v="Quentin Ramos"/>
    <s v="Core"/>
    <d v="2024-05-13T00:00:00"/>
    <x v="1"/>
    <n v="5"/>
    <x v="2"/>
    <s v="No"/>
    <s v="-"/>
    <s v="No"/>
    <n v="0"/>
    <n v="0"/>
    <n v="5"/>
  </r>
  <r>
    <n v="3309"/>
    <s v="Raquel Novaes"/>
    <s v="Ultimate"/>
    <d v="2024-05-14T00:00:00"/>
    <x v="0"/>
    <n v="15"/>
    <x v="0"/>
    <s v="Yes"/>
    <n v="30"/>
    <s v="Yes"/>
    <n v="20"/>
    <n v="3"/>
    <n v="62"/>
  </r>
  <r>
    <n v="3310"/>
    <s v="Samantha Lopes"/>
    <s v="Standard"/>
    <d v="2024-05-15T00:00:00"/>
    <x v="1"/>
    <n v="10"/>
    <x v="1"/>
    <s v="No"/>
    <s v="-"/>
    <s v="Yes"/>
    <n v="20"/>
    <n v="15"/>
    <n v="15"/>
  </r>
  <r>
    <n v="3311"/>
    <s v="Tiago Martins"/>
    <s v="Core"/>
    <d v="2024-05-16T00:00:00"/>
    <x v="0"/>
    <n v="5"/>
    <x v="0"/>
    <s v="No"/>
    <s v="-"/>
    <s v="No"/>
    <n v="0"/>
    <n v="1"/>
    <n v="4"/>
  </r>
  <r>
    <n v="3312"/>
    <s v="Ulysses Guimarães"/>
    <s v="Ultimate"/>
    <d v="2024-05-17T00:00:00"/>
    <x v="1"/>
    <n v="15"/>
    <x v="2"/>
    <s v="Yes"/>
    <n v="30"/>
    <s v="Yes"/>
    <n v="20"/>
    <n v="7"/>
    <n v="58"/>
  </r>
  <r>
    <n v="3313"/>
    <s v="Vanessa Silva"/>
    <s v="Standard"/>
    <d v="2024-05-18T00:00:00"/>
    <x v="0"/>
    <n v="10"/>
    <x v="0"/>
    <s v="No"/>
    <s v="-"/>
    <s v="Yes"/>
    <n v="20"/>
    <n v="10"/>
    <n v="20"/>
  </r>
  <r>
    <n v="3314"/>
    <s v="William Carneiro"/>
    <s v="Core"/>
    <d v="2024-05-19T00:00:00"/>
    <x v="1"/>
    <n v="5"/>
    <x v="1"/>
    <s v="No"/>
    <s v="-"/>
    <s v="No"/>
    <n v="0"/>
    <n v="0"/>
    <n v="5"/>
  </r>
  <r>
    <n v="3315"/>
    <s v="Ximena Rocha"/>
    <s v="Ultimate"/>
    <d v="2024-05-20T00:00:00"/>
    <x v="0"/>
    <n v="15"/>
    <x v="0"/>
    <s v="Yes"/>
    <n v="30"/>
    <s v="Yes"/>
    <n v="20"/>
    <n v="20"/>
    <n v="45"/>
  </r>
  <r>
    <n v="3316"/>
    <s v="Yasmin Figueiredo"/>
    <s v="Standard"/>
    <d v="2024-05-21T00:00:00"/>
    <x v="1"/>
    <n v="10"/>
    <x v="2"/>
    <s v="No"/>
    <s v="-"/>
    <s v="Yes"/>
    <n v="20"/>
    <n v="15"/>
    <n v="15"/>
  </r>
  <r>
    <n v="3317"/>
    <s v="Zara Cunha"/>
    <s v="Core"/>
    <d v="2024-05-22T00:00:00"/>
    <x v="0"/>
    <n v="5"/>
    <x v="0"/>
    <s v="No"/>
    <s v="-"/>
    <s v="No"/>
    <n v="0"/>
    <n v="1"/>
    <n v="4"/>
  </r>
  <r>
    <n v="3318"/>
    <s v="Alan Teixeira"/>
    <s v="Ultimate"/>
    <d v="2024-05-23T00:00:00"/>
    <x v="1"/>
    <n v="15"/>
    <x v="1"/>
    <s v="Yes"/>
    <n v="30"/>
    <s v="Yes"/>
    <n v="20"/>
    <n v="3"/>
    <n v="62"/>
  </r>
  <r>
    <n v="3319"/>
    <s v="Bárbara Oliveira"/>
    <s v="Standard"/>
    <d v="2024-05-24T00:00:00"/>
    <x v="0"/>
    <n v="10"/>
    <x v="0"/>
    <s v="No"/>
    <s v="-"/>
    <s v="Yes"/>
    <n v="20"/>
    <n v="10"/>
    <n v="20"/>
  </r>
  <r>
    <n v="3320"/>
    <s v="Carlos Junqueira"/>
    <s v="Core"/>
    <d v="2024-05-25T00:00:00"/>
    <x v="1"/>
    <n v="5"/>
    <x v="2"/>
    <s v="No"/>
    <s v="-"/>
    <s v="No"/>
    <n v="0"/>
    <n v="0"/>
    <n v="5"/>
  </r>
  <r>
    <n v="3321"/>
    <s v="Daniela Moura"/>
    <s v="Ultimate"/>
    <d v="2024-05-26T00:00:00"/>
    <x v="0"/>
    <n v="15"/>
    <x v="0"/>
    <s v="Yes"/>
    <n v="30"/>
    <s v="Yes"/>
    <n v="20"/>
    <n v="5"/>
    <n v="60"/>
  </r>
  <r>
    <n v="3322"/>
    <s v="Eduardo Lima"/>
    <s v="Standard"/>
    <d v="2024-05-27T00:00:00"/>
    <x v="1"/>
    <n v="10"/>
    <x v="1"/>
    <s v="No"/>
    <s v="-"/>
    <s v="Yes"/>
    <n v="20"/>
    <n v="15"/>
    <n v="15"/>
  </r>
  <r>
    <n v="3323"/>
    <s v="Fabiana Araújo"/>
    <s v="Core"/>
    <d v="2024-05-28T00:00:00"/>
    <x v="0"/>
    <n v="5"/>
    <x v="0"/>
    <s v="No"/>
    <s v="-"/>
    <s v="No"/>
    <n v="0"/>
    <n v="1"/>
    <n v="4"/>
  </r>
  <r>
    <n v="3324"/>
    <s v="Geraldo Ribeiro"/>
    <s v="Ultimate"/>
    <d v="2024-05-29T00:00:00"/>
    <x v="1"/>
    <n v="15"/>
    <x v="2"/>
    <s v="Yes"/>
    <n v="30"/>
    <s v="Yes"/>
    <n v="20"/>
    <n v="20"/>
    <n v="45"/>
  </r>
  <r>
    <n v="3325"/>
    <s v="Héctor Vargas"/>
    <s v="Standard"/>
    <d v="2024-05-30T00:00:00"/>
    <x v="0"/>
    <n v="10"/>
    <x v="2"/>
    <s v="No"/>
    <s v="-"/>
    <s v="Yes"/>
    <n v="20"/>
    <n v="15"/>
    <n v="15"/>
  </r>
  <r>
    <n v="3326"/>
    <s v="Isabela Fonseca"/>
    <s v="Core"/>
    <d v="2024-05-31T00:00:00"/>
    <x v="1"/>
    <n v="5"/>
    <x v="1"/>
    <s v="No"/>
    <s v="-"/>
    <s v="No"/>
    <n v="0"/>
    <n v="0"/>
    <n v="5"/>
  </r>
  <r>
    <n v="3327"/>
    <s v="João Pedro Almeida"/>
    <s v="Ultimate"/>
    <d v="2024-06-01T00:00:00"/>
    <x v="0"/>
    <n v="15"/>
    <x v="0"/>
    <s v="Yes"/>
    <n v="30"/>
    <s v="Yes"/>
    <n v="20"/>
    <n v="7"/>
    <n v="58"/>
  </r>
  <r>
    <n v="3328"/>
    <s v="Klara Costa"/>
    <s v="Standard"/>
    <d v="2024-06-02T00:00:00"/>
    <x v="1"/>
    <n v="10"/>
    <x v="1"/>
    <s v="No"/>
    <s v="-"/>
    <s v="Yes"/>
    <n v="20"/>
    <n v="10"/>
    <n v="20"/>
  </r>
  <r>
    <n v="3329"/>
    <s v="Luciana Mendes"/>
    <s v="Core"/>
    <d v="2024-06-03T00:00:00"/>
    <x v="0"/>
    <n v="5"/>
    <x v="2"/>
    <s v="No"/>
    <s v="-"/>
    <s v="No"/>
    <n v="0"/>
    <n v="1"/>
    <n v="4"/>
  </r>
  <r>
    <n v="3330"/>
    <s v="Marcelo Gouveia"/>
    <s v="Ultimate"/>
    <d v="2024-06-04T00:00:00"/>
    <x v="1"/>
    <n v="15"/>
    <x v="0"/>
    <s v="Yes"/>
    <n v="30"/>
    <s v="Yes"/>
    <n v="20"/>
    <n v="15"/>
    <n v="50"/>
  </r>
  <r>
    <n v="3331"/>
    <s v="Nívea Borges"/>
    <s v="Standard"/>
    <d v="2024-06-05T00:00:00"/>
    <x v="0"/>
    <n v="10"/>
    <x v="0"/>
    <s v="No"/>
    <s v="-"/>
    <s v="Yes"/>
    <n v="20"/>
    <n v="5"/>
    <n v="25"/>
  </r>
  <r>
    <n v="3332"/>
    <s v="Oscar Nogueira"/>
    <s v="Core"/>
    <d v="2024-06-06T00:00:00"/>
    <x v="1"/>
    <n v="5"/>
    <x v="1"/>
    <s v="No"/>
    <s v="-"/>
    <s v="No"/>
    <n v="0"/>
    <n v="0"/>
    <n v="5"/>
  </r>
  <r>
    <n v="3333"/>
    <s v="Patrícia Alves"/>
    <s v="Ultimate"/>
    <d v="2024-06-07T00:00:00"/>
    <x v="0"/>
    <n v="15"/>
    <x v="2"/>
    <s v="Yes"/>
    <n v="30"/>
    <s v="Yes"/>
    <n v="20"/>
    <n v="20"/>
    <n v="45"/>
  </r>
  <r>
    <n v="3334"/>
    <s v="Rafaela Silva"/>
    <s v="Standard"/>
    <d v="2024-06-08T00:00:00"/>
    <x v="1"/>
    <n v="10"/>
    <x v="2"/>
    <s v="No"/>
    <s v="-"/>
    <s v="Yes"/>
    <n v="20"/>
    <n v="12"/>
    <n v="18"/>
  </r>
  <r>
    <n v="3335"/>
    <s v="Samantha Moraes"/>
    <s v="Core"/>
    <d v="2024-06-09T00:00:00"/>
    <x v="0"/>
    <n v="5"/>
    <x v="0"/>
    <s v="No"/>
    <s v="-"/>
    <s v="No"/>
    <n v="0"/>
    <n v="2"/>
    <n v="3"/>
  </r>
  <r>
    <n v="3336"/>
    <s v="Tatiana Rocha"/>
    <s v="Core"/>
    <d v="2024-06-10T00:00:00"/>
    <x v="0"/>
    <n v="5"/>
    <x v="0"/>
    <s v="No"/>
    <s v="-"/>
    <s v="No"/>
    <n v="0"/>
    <n v="0"/>
    <n v="5"/>
  </r>
  <r>
    <n v="3337"/>
    <s v="Ulisses Tavares"/>
    <s v="Ultimate"/>
    <d v="2024-06-11T00:00:00"/>
    <x v="1"/>
    <n v="15"/>
    <x v="2"/>
    <s v="Yes"/>
    <n v="30"/>
    <s v="Yes"/>
    <n v="20"/>
    <n v="7"/>
    <n v="58"/>
  </r>
  <r>
    <n v="3338"/>
    <s v="Víctor Lemos"/>
    <s v="Standard"/>
    <d v="2024-06-12T00:00:00"/>
    <x v="0"/>
    <n v="10"/>
    <x v="1"/>
    <s v="No"/>
    <s v="-"/>
    <s v="Yes"/>
    <n v="20"/>
    <n v="10"/>
    <n v="20"/>
  </r>
  <r>
    <n v="3339"/>
    <s v="Wilma Barros"/>
    <s v="Core"/>
    <d v="2024-06-13T00:00:00"/>
    <x v="1"/>
    <n v="5"/>
    <x v="2"/>
    <s v="No"/>
    <s v="-"/>
    <s v="No"/>
    <n v="0"/>
    <n v="1"/>
    <n v="4"/>
  </r>
  <r>
    <n v="3340"/>
    <s v="Xavier Nascimento"/>
    <s v="Ultimate"/>
    <d v="2024-06-14T00:00:00"/>
    <x v="0"/>
    <n v="15"/>
    <x v="0"/>
    <s v="Yes"/>
    <n v="30"/>
    <s v="Yes"/>
    <n v="20"/>
    <n v="15"/>
    <n v="50"/>
  </r>
  <r>
    <n v="3341"/>
    <s v="Yago Pereira"/>
    <s v="Standard"/>
    <d v="2024-06-15T00:00:00"/>
    <x v="1"/>
    <n v="10"/>
    <x v="0"/>
    <s v="No"/>
    <s v="-"/>
    <s v="Yes"/>
    <n v="20"/>
    <n v="5"/>
    <n v="25"/>
  </r>
  <r>
    <n v="3342"/>
    <s v="Zilda Ferreira"/>
    <s v="Core"/>
    <d v="2024-06-16T00:00:00"/>
    <x v="0"/>
    <n v="5"/>
    <x v="1"/>
    <s v="No"/>
    <s v="-"/>
    <s v="No"/>
    <n v="0"/>
    <n v="0"/>
    <n v="5"/>
  </r>
  <r>
    <n v="3343"/>
    <s v="Amanda Lopes"/>
    <s v="Ultimate"/>
    <d v="2024-06-17T00:00:00"/>
    <x v="1"/>
    <n v="15"/>
    <x v="2"/>
    <s v="Yes"/>
    <n v="30"/>
    <s v="Yes"/>
    <n v="20"/>
    <n v="20"/>
    <n v="45"/>
  </r>
  <r>
    <n v="3344"/>
    <s v="Bruno Miranda"/>
    <s v="Standard"/>
    <d v="2024-06-18T00:00:00"/>
    <x v="0"/>
    <n v="10"/>
    <x v="2"/>
    <s v="No"/>
    <s v="-"/>
    <s v="Yes"/>
    <n v="20"/>
    <n v="12"/>
    <n v="18"/>
  </r>
  <r>
    <n v="3345"/>
    <s v="Célia Torres"/>
    <s v="Core"/>
    <d v="2024-06-19T00:00:00"/>
    <x v="1"/>
    <n v="5"/>
    <x v="0"/>
    <s v="No"/>
    <s v="-"/>
    <s v="No"/>
    <n v="0"/>
    <n v="2"/>
    <n v="3"/>
  </r>
  <r>
    <n v="3346"/>
    <s v="Diogo Souza"/>
    <s v="Ultimate"/>
    <d v="2024-06-20T00:00:00"/>
    <x v="0"/>
    <n v="15"/>
    <x v="1"/>
    <s v="Yes"/>
    <n v="30"/>
    <s v="Yes"/>
    <n v="20"/>
    <n v="5"/>
    <n v="60"/>
  </r>
  <r>
    <n v="3347"/>
    <s v="Elisa Castro"/>
    <s v="Standard"/>
    <d v="2024-06-21T00:00:00"/>
    <x v="1"/>
    <n v="10"/>
    <x v="0"/>
    <s v="No"/>
    <s v="-"/>
    <s v="Yes"/>
    <n v="20"/>
    <n v="10"/>
    <n v="20"/>
  </r>
  <r>
    <n v="3348"/>
    <s v="Fátima Lima"/>
    <s v="Core"/>
    <d v="2024-06-22T00:00:00"/>
    <x v="0"/>
    <n v="5"/>
    <x v="2"/>
    <s v="No"/>
    <s v="-"/>
    <s v="No"/>
    <n v="0"/>
    <n v="0"/>
    <n v="5"/>
  </r>
  <r>
    <n v="3349"/>
    <s v="Geraldo Ribeiro"/>
    <s v="Ultimate"/>
    <d v="2024-06-23T00:00:00"/>
    <x v="1"/>
    <n v="15"/>
    <x v="0"/>
    <s v="Yes"/>
    <n v="30"/>
    <s v="Yes"/>
    <n v="20"/>
    <n v="3"/>
    <n v="62"/>
  </r>
  <r>
    <n v="3350"/>
    <s v="Hélio Martins"/>
    <s v="Standard"/>
    <d v="2024-06-24T00:00:00"/>
    <x v="0"/>
    <n v="10"/>
    <x v="1"/>
    <s v="No"/>
    <s v="-"/>
    <s v="Yes"/>
    <n v="20"/>
    <n v="15"/>
    <n v="15"/>
  </r>
  <r>
    <n v="3351"/>
    <s v="Íris Santos"/>
    <s v="Core"/>
    <d v="2024-06-25T00:00:00"/>
    <x v="1"/>
    <n v="5"/>
    <x v="0"/>
    <s v="No"/>
    <s v="-"/>
    <s v="No"/>
    <n v="0"/>
    <n v="1"/>
    <n v="4"/>
  </r>
  <r>
    <n v="3352"/>
    <s v="João Marcelo"/>
    <s v="Ultimate"/>
    <d v="2024-06-26T00:00:00"/>
    <x v="0"/>
    <n v="15"/>
    <x v="2"/>
    <s v="Yes"/>
    <n v="30"/>
    <s v="Yes"/>
    <n v="20"/>
    <n v="7"/>
    <n v="58"/>
  </r>
  <r>
    <n v="3353"/>
    <s v="Larissa Gomes"/>
    <s v="Standard"/>
    <d v="2024-06-27T00:00:00"/>
    <x v="1"/>
    <n v="10"/>
    <x v="0"/>
    <s v="No"/>
    <s v="-"/>
    <s v="Yes"/>
    <n v="20"/>
    <n v="10"/>
    <n v="20"/>
  </r>
  <r>
    <n v="3354"/>
    <s v="Márcio Silva"/>
    <s v="Core"/>
    <d v="2024-06-28T00:00:00"/>
    <x v="0"/>
    <n v="5"/>
    <x v="1"/>
    <s v="No"/>
    <s v="-"/>
    <s v="No"/>
    <n v="0"/>
    <n v="0"/>
    <n v="5"/>
  </r>
  <r>
    <n v="3355"/>
    <s v="Nadia Costa"/>
    <s v="Ultimate"/>
    <d v="2024-06-29T00:00:00"/>
    <x v="1"/>
    <n v="15"/>
    <x v="0"/>
    <s v="Yes"/>
    <n v="30"/>
    <s v="Yes"/>
    <n v="20"/>
    <n v="20"/>
    <n v="45"/>
  </r>
  <r>
    <n v="3356"/>
    <s v="Oscar Almeida"/>
    <s v="Standard"/>
    <d v="2024-06-30T00:00:00"/>
    <x v="0"/>
    <n v="10"/>
    <x v="2"/>
    <s v="No"/>
    <s v="-"/>
    <s v="Yes"/>
    <n v="20"/>
    <n v="15"/>
    <n v="15"/>
  </r>
  <r>
    <n v="3357"/>
    <s v="Patricia Soares"/>
    <s v="Core"/>
    <d v="2024-07-01T00:00:00"/>
    <x v="1"/>
    <n v="5"/>
    <x v="0"/>
    <s v="No"/>
    <s v="-"/>
    <s v="No"/>
    <n v="0"/>
    <n v="1"/>
    <n v="4"/>
  </r>
  <r>
    <n v="3358"/>
    <s v="Quênia Barros"/>
    <s v="Ultimate"/>
    <d v="2024-07-02T00:00:00"/>
    <x v="0"/>
    <n v="15"/>
    <x v="1"/>
    <s v="Yes"/>
    <n v="30"/>
    <s v="Yes"/>
    <n v="20"/>
    <n v="3"/>
    <n v="62"/>
  </r>
  <r>
    <n v="3359"/>
    <s v="Rafael Torres"/>
    <s v="Standard"/>
    <d v="2024-07-03T00:00:00"/>
    <x v="1"/>
    <n v="10"/>
    <x v="0"/>
    <s v="No"/>
    <s v="-"/>
    <s v="Yes"/>
    <n v="20"/>
    <n v="10"/>
    <n v="20"/>
  </r>
  <r>
    <n v="3360"/>
    <s v="Silvia Nascimento"/>
    <s v="Core"/>
    <d v="2024-07-04T00:00:00"/>
    <x v="0"/>
    <n v="5"/>
    <x v="2"/>
    <s v="No"/>
    <s v="-"/>
    <s v="No"/>
    <n v="0"/>
    <n v="0"/>
    <n v="5"/>
  </r>
  <r>
    <n v="3361"/>
    <s v="Tiago Mendes"/>
    <s v="Ultimate"/>
    <d v="2024-07-05T00:00:00"/>
    <x v="1"/>
    <n v="15"/>
    <x v="0"/>
    <s v="Yes"/>
    <n v="30"/>
    <s v="Yes"/>
    <n v="20"/>
    <n v="15"/>
    <n v="50"/>
  </r>
  <r>
    <n v="3362"/>
    <s v="Ursula Silva"/>
    <s v="Standard"/>
    <d v="2024-07-06T00:00:00"/>
    <x v="0"/>
    <n v="10"/>
    <x v="1"/>
    <s v="No"/>
    <s v="-"/>
    <s v="Yes"/>
    <n v="20"/>
    <n v="15"/>
    <n v="15"/>
  </r>
  <r>
    <n v="3363"/>
    <s v="Vanessa Moraes"/>
    <s v="Core"/>
    <d v="2024-07-07T00:00:00"/>
    <x v="1"/>
    <n v="5"/>
    <x v="0"/>
    <s v="No"/>
    <s v="-"/>
    <s v="No"/>
    <n v="0"/>
    <n v="1"/>
    <n v="4"/>
  </r>
  <r>
    <n v="3364"/>
    <s v="Waldir Junior"/>
    <s v="Ultimate"/>
    <d v="2024-07-08T00:00:00"/>
    <x v="0"/>
    <n v="15"/>
    <x v="2"/>
    <s v="Yes"/>
    <n v="30"/>
    <s v="Yes"/>
    <n v="20"/>
    <n v="7"/>
    <n v="58"/>
  </r>
  <r>
    <n v="3365"/>
    <s v="Xavier Lopes"/>
    <s v="Standard"/>
    <d v="2024-07-09T00:00:00"/>
    <x v="1"/>
    <n v="10"/>
    <x v="0"/>
    <s v="No"/>
    <s v="-"/>
    <s v="Yes"/>
    <n v="20"/>
    <n v="10"/>
    <n v="20"/>
  </r>
  <r>
    <n v="3366"/>
    <s v="Yolanda Freitas"/>
    <s v="Core"/>
    <d v="2024-07-10T00:00:00"/>
    <x v="0"/>
    <n v="5"/>
    <x v="0"/>
    <s v="No"/>
    <s v="-"/>
    <s v="No"/>
    <n v="0"/>
    <n v="0"/>
    <n v="5"/>
  </r>
  <r>
    <n v="3367"/>
    <s v="Zacarias Nunes"/>
    <s v="Ultimate"/>
    <d v="2024-07-11T00:00:00"/>
    <x v="1"/>
    <n v="15"/>
    <x v="2"/>
    <s v="Yes"/>
    <n v="30"/>
    <s v="Yes"/>
    <n v="20"/>
    <n v="7"/>
    <n v="58"/>
  </r>
  <r>
    <n v="3368"/>
    <s v="Ana Clara Barreto"/>
    <s v="Standard"/>
    <d v="2024-07-12T00:00:00"/>
    <x v="0"/>
    <n v="10"/>
    <x v="1"/>
    <s v="No"/>
    <s v="-"/>
    <s v="Yes"/>
    <n v="20"/>
    <n v="10"/>
    <n v="20"/>
  </r>
  <r>
    <n v="3369"/>
    <s v="Bruno Henrique"/>
    <s v="Core"/>
    <d v="2024-07-13T00:00:00"/>
    <x v="1"/>
    <n v="5"/>
    <x v="2"/>
    <s v="No"/>
    <s v="-"/>
    <s v="No"/>
    <n v="0"/>
    <n v="1"/>
    <n v="4"/>
  </r>
  <r>
    <n v="3370"/>
    <s v="Carlos Eduardo"/>
    <s v="Ultimate"/>
    <d v="2024-07-14T00:00:00"/>
    <x v="0"/>
    <n v="15"/>
    <x v="0"/>
    <s v="Yes"/>
    <n v="30"/>
    <s v="Yes"/>
    <n v="20"/>
    <n v="15"/>
    <n v="50"/>
  </r>
  <r>
    <n v="3371"/>
    <s v="Débora Lima"/>
    <s v="Standard"/>
    <d v="2024-07-15T00:00:00"/>
    <x v="1"/>
    <n v="10"/>
    <x v="0"/>
    <s v="No"/>
    <s v="-"/>
    <s v="Yes"/>
    <n v="20"/>
    <n v="5"/>
    <n v="25"/>
  </r>
  <r>
    <n v="3372"/>
    <s v="Elisa Neves"/>
    <s v="Core"/>
    <d v="2024-07-16T00:00:00"/>
    <x v="0"/>
    <n v="5"/>
    <x v="1"/>
    <s v="No"/>
    <s v="-"/>
    <s v="No"/>
    <n v="0"/>
    <n v="0"/>
    <n v="5"/>
  </r>
  <r>
    <n v="3373"/>
    <s v="Fabiano Gomes"/>
    <s v="Ultimate"/>
    <d v="2024-07-17T00:00:00"/>
    <x v="1"/>
    <n v="15"/>
    <x v="2"/>
    <s v="Yes"/>
    <n v="30"/>
    <s v="Yes"/>
    <n v="20"/>
    <n v="20"/>
    <n v="45"/>
  </r>
  <r>
    <n v="3374"/>
    <s v="Gisele Oliveira"/>
    <s v="Standard"/>
    <d v="2024-07-18T00:00:00"/>
    <x v="0"/>
    <n v="10"/>
    <x v="2"/>
    <s v="No"/>
    <s v="-"/>
    <s v="Yes"/>
    <n v="20"/>
    <n v="12"/>
    <n v="18"/>
  </r>
  <r>
    <n v="3375"/>
    <s v="Héctor Silva"/>
    <s v="Core"/>
    <d v="2024-07-19T00:00:00"/>
    <x v="1"/>
    <n v="5"/>
    <x v="0"/>
    <s v="No"/>
    <s v="-"/>
    <s v="No"/>
    <n v="0"/>
    <n v="2"/>
    <n v="3"/>
  </r>
  <r>
    <n v="3376"/>
    <s v="Igor Martins"/>
    <s v="Ultimate"/>
    <d v="2024-07-20T00:00:00"/>
    <x v="0"/>
    <n v="15"/>
    <x v="1"/>
    <s v="Yes"/>
    <n v="30"/>
    <s v="Yes"/>
    <n v="20"/>
    <n v="5"/>
    <n v="60"/>
  </r>
  <r>
    <n v="3377"/>
    <s v="Joana Figueiredo"/>
    <s v="Standard"/>
    <d v="2024-07-21T00:00:00"/>
    <x v="1"/>
    <n v="10"/>
    <x v="0"/>
    <s v="No"/>
    <s v="-"/>
    <s v="Yes"/>
    <n v="20"/>
    <n v="10"/>
    <n v="20"/>
  </r>
  <r>
    <n v="3378"/>
    <s v="Kleber Machado"/>
    <s v="Core"/>
    <d v="2024-07-22T00:00:00"/>
    <x v="0"/>
    <n v="5"/>
    <x v="2"/>
    <s v="No"/>
    <s v="-"/>
    <s v="No"/>
    <n v="0"/>
    <n v="0"/>
    <n v="5"/>
  </r>
  <r>
    <n v="3379"/>
    <s v="Luciana Santos"/>
    <s v="Ultimate"/>
    <d v="2024-07-23T00:00:00"/>
    <x v="1"/>
    <n v="15"/>
    <x v="0"/>
    <s v="Yes"/>
    <n v="30"/>
    <s v="Yes"/>
    <n v="20"/>
    <n v="3"/>
    <n v="62"/>
  </r>
  <r>
    <n v="3380"/>
    <s v="Marcos Teixeira"/>
    <s v="Standard"/>
    <d v="2024-07-24T00:00:00"/>
    <x v="0"/>
    <n v="10"/>
    <x v="1"/>
    <s v="No"/>
    <s v="-"/>
    <s v="Yes"/>
    <n v="20"/>
    <n v="15"/>
    <n v="15"/>
  </r>
  <r>
    <n v="3381"/>
    <s v="Natalia Costa"/>
    <s v="Core"/>
    <d v="2024-07-25T00:00:00"/>
    <x v="1"/>
    <n v="5"/>
    <x v="0"/>
    <s v="No"/>
    <s v="-"/>
    <s v="No"/>
    <n v="0"/>
    <n v="1"/>
    <n v="4"/>
  </r>
  <r>
    <n v="3382"/>
    <s v="Oscar Ribeiro"/>
    <s v="Ultimate"/>
    <d v="2024-07-26T00:00:00"/>
    <x v="0"/>
    <n v="15"/>
    <x v="2"/>
    <s v="Yes"/>
    <n v="30"/>
    <s v="Yes"/>
    <n v="20"/>
    <n v="7"/>
    <n v="58"/>
  </r>
  <r>
    <n v="3383"/>
    <s v="Patricia Almeida"/>
    <s v="Standard"/>
    <d v="2024-07-27T00:00:00"/>
    <x v="1"/>
    <n v="10"/>
    <x v="0"/>
    <s v="No"/>
    <s v="-"/>
    <s v="Yes"/>
    <n v="20"/>
    <n v="10"/>
    <n v="20"/>
  </r>
  <r>
    <n v="3384"/>
    <s v="Quirino Junior"/>
    <s v="Core"/>
    <d v="2024-07-28T00:00:00"/>
    <x v="0"/>
    <n v="5"/>
    <x v="1"/>
    <s v="No"/>
    <s v="-"/>
    <s v="No"/>
    <n v="0"/>
    <n v="0"/>
    <n v="5"/>
  </r>
  <r>
    <n v="3385"/>
    <s v="Renata Machado"/>
    <s v="Ultimate"/>
    <d v="2024-07-29T00:00:00"/>
    <x v="1"/>
    <n v="15"/>
    <x v="0"/>
    <s v="Yes"/>
    <n v="30"/>
    <s v="Yes"/>
    <n v="20"/>
    <n v="20"/>
    <n v="45"/>
  </r>
  <r>
    <n v="3386"/>
    <s v="Sônia Alves"/>
    <s v="Standard"/>
    <d v="2024-07-30T00:00:00"/>
    <x v="0"/>
    <n v="10"/>
    <x v="2"/>
    <s v="No"/>
    <s v="-"/>
    <s v="Yes"/>
    <n v="20"/>
    <n v="15"/>
    <n v="15"/>
  </r>
  <r>
    <n v="3387"/>
    <s v="Tiago Nunes"/>
    <s v="Core"/>
    <d v="2024-07-31T00:00:00"/>
    <x v="1"/>
    <n v="5"/>
    <x v="0"/>
    <s v="No"/>
    <s v="-"/>
    <s v="No"/>
    <n v="0"/>
    <n v="1"/>
    <n v="4"/>
  </r>
  <r>
    <n v="3388"/>
    <s v="Ulysses Pereira"/>
    <s v="Ultimate"/>
    <d v="2024-08-01T00:00:00"/>
    <x v="0"/>
    <n v="15"/>
    <x v="1"/>
    <s v="Yes"/>
    <n v="30"/>
    <s v="Yes"/>
    <n v="20"/>
    <n v="3"/>
    <n v="62"/>
  </r>
  <r>
    <n v="3389"/>
    <s v="Vanessa Lima"/>
    <s v="Standard"/>
    <d v="2024-08-02T00:00:00"/>
    <x v="1"/>
    <n v="10"/>
    <x v="0"/>
    <s v="No"/>
    <s v="-"/>
    <s v="Yes"/>
    <n v="20"/>
    <n v="10"/>
    <n v="20"/>
  </r>
  <r>
    <n v="3390"/>
    <s v="Wagner Santos"/>
    <s v="Core"/>
    <d v="2024-08-03T00:00:00"/>
    <x v="0"/>
    <n v="5"/>
    <x v="2"/>
    <s v="No"/>
    <s v="-"/>
    <s v="No"/>
    <n v="0"/>
    <n v="0"/>
    <n v="5"/>
  </r>
  <r>
    <n v="3391"/>
    <s v="Xuxa Meneghel"/>
    <s v="Ultimate"/>
    <d v="2024-08-04T00:00:00"/>
    <x v="1"/>
    <n v="15"/>
    <x v="0"/>
    <s v="Yes"/>
    <n v="30"/>
    <s v="Yes"/>
    <n v="20"/>
    <n v="15"/>
    <n v="50"/>
  </r>
  <r>
    <n v="3392"/>
    <s v="Yasmin Silva"/>
    <s v="Standard"/>
    <d v="2024-08-05T00:00:00"/>
    <x v="0"/>
    <n v="10"/>
    <x v="1"/>
    <s v="No"/>
    <s v="-"/>
    <s v="Yes"/>
    <n v="20"/>
    <n v="15"/>
    <n v="15"/>
  </r>
  <r>
    <n v="3393"/>
    <s v="Zacarias de Souza"/>
    <s v="Core"/>
    <d v="2024-08-06T00:00:00"/>
    <x v="1"/>
    <n v="5"/>
    <x v="0"/>
    <s v="No"/>
    <s v="-"/>
    <s v="No"/>
    <n v="0"/>
    <n v="1"/>
    <n v="4"/>
  </r>
  <r>
    <n v="3394"/>
    <s v="André Lima"/>
    <s v="Ultimate"/>
    <d v="2024-08-07T00:00:00"/>
    <x v="0"/>
    <n v="15"/>
    <x v="2"/>
    <s v="Yes"/>
    <n v="30"/>
    <s v="Yes"/>
    <n v="20"/>
    <n v="7"/>
    <n v="58"/>
  </r>
  <r>
    <n v="3395"/>
    <s v="Bianca Freitas"/>
    <s v="Standard"/>
    <d v="2024-08-08T00:00:00"/>
    <x v="1"/>
    <n v="10"/>
    <x v="0"/>
    <s v="No"/>
    <s v="-"/>
    <s v="Yes"/>
    <n v="20"/>
    <n v="10"/>
    <n v="20"/>
  </r>
  <r>
    <n v="3396"/>
    <s v="Caio Mendes"/>
    <s v="Core"/>
    <d v="2024-08-09T00:00:00"/>
    <x v="0"/>
    <n v="5"/>
    <x v="1"/>
    <s v="No"/>
    <s v="-"/>
    <s v="No"/>
    <n v="0"/>
    <n v="0"/>
    <n v="5"/>
  </r>
  <r>
    <n v="3397"/>
    <s v="Daniela Moura"/>
    <s v="Ultimate"/>
    <d v="2024-08-10T00:00:00"/>
    <x v="1"/>
    <n v="15"/>
    <x v="0"/>
    <s v="Yes"/>
    <n v="30"/>
    <s v="Yes"/>
    <n v="20"/>
    <n v="20"/>
    <n v="45"/>
  </r>
  <r>
    <n v="3398"/>
    <s v="Eduardo Costa"/>
    <s v="Standard"/>
    <d v="2024-08-11T00:00:00"/>
    <x v="0"/>
    <n v="10"/>
    <x v="2"/>
    <s v="No"/>
    <s v="-"/>
    <s v="Yes"/>
    <n v="20"/>
    <n v="15"/>
    <n v="15"/>
  </r>
  <r>
    <n v="3399"/>
    <s v="Fernanda Gomes"/>
    <s v="Core"/>
    <d v="2024-08-12T00:00:00"/>
    <x v="1"/>
    <n v="5"/>
    <x v="0"/>
    <s v="No"/>
    <s v="-"/>
    <s v="No"/>
    <n v="0"/>
    <n v="1"/>
    <n v="4"/>
  </r>
  <r>
    <n v="3400"/>
    <s v="Guilherme Souza"/>
    <s v="Ultimate"/>
    <d v="2024-08-13T00:00:00"/>
    <x v="0"/>
    <n v="15"/>
    <x v="1"/>
    <s v="Yes"/>
    <n v="30"/>
    <s v="Yes"/>
    <n v="20"/>
    <n v="5"/>
    <n v="60"/>
  </r>
  <r>
    <n v="3401"/>
    <s v="Helena Ribeiro"/>
    <s v="Standard"/>
    <d v="2024-08-14T00:00:00"/>
    <x v="1"/>
    <n v="10"/>
    <x v="0"/>
    <s v="No"/>
    <s v="-"/>
    <s v="Yes"/>
    <n v="20"/>
    <n v="10"/>
    <n v="20"/>
  </r>
  <r>
    <n v="3402"/>
    <s v="Igor Santos"/>
    <s v="Core"/>
    <d v="2024-08-15T00:00:00"/>
    <x v="0"/>
    <n v="5"/>
    <x v="2"/>
    <s v="No"/>
    <s v="-"/>
    <s v="No"/>
    <n v="0"/>
    <n v="0"/>
    <n v="5"/>
  </r>
  <r>
    <n v="3403"/>
    <s v="João Carvalho"/>
    <s v="Ultimate"/>
    <d v="2024-08-16T00:00:00"/>
    <x v="1"/>
    <n v="15"/>
    <x v="0"/>
    <s v="Yes"/>
    <n v="30"/>
    <s v="Yes"/>
    <n v="20"/>
    <n v="3"/>
    <n v="62"/>
  </r>
  <r>
    <n v="3404"/>
    <s v="Klara Fagundes"/>
    <s v="Standard"/>
    <d v="2024-08-17T00:00:00"/>
    <x v="0"/>
    <n v="10"/>
    <x v="1"/>
    <s v="No"/>
    <s v="-"/>
    <s v="Yes"/>
    <n v="20"/>
    <n v="15"/>
    <n v="15"/>
  </r>
  <r>
    <n v="3405"/>
    <s v="Lúcia Mendonça"/>
    <s v="Core"/>
    <d v="2024-08-18T00:00:00"/>
    <x v="1"/>
    <n v="5"/>
    <x v="0"/>
    <s v="No"/>
    <s v="-"/>
    <s v="No"/>
    <n v="0"/>
    <n v="1"/>
    <n v="4"/>
  </r>
  <r>
    <n v="3406"/>
    <s v="Marcelo Novaes"/>
    <s v="Core"/>
    <d v="2024-08-19T00:00:00"/>
    <x v="0"/>
    <n v="5"/>
    <x v="0"/>
    <s v="No"/>
    <s v="-"/>
    <s v="No"/>
    <n v="0"/>
    <n v="0"/>
    <n v="5"/>
  </r>
  <r>
    <n v="3407"/>
    <s v="Nina Pacheco"/>
    <s v="Ultimate"/>
    <d v="2024-08-20T00:00:00"/>
    <x v="1"/>
    <n v="15"/>
    <x v="2"/>
    <s v="Yes"/>
    <n v="30"/>
    <s v="Yes"/>
    <n v="20"/>
    <n v="7"/>
    <n v="58"/>
  </r>
  <r>
    <n v="3408"/>
    <s v="Olívia Rios"/>
    <s v="Standard"/>
    <d v="2024-08-21T00:00:00"/>
    <x v="0"/>
    <n v="10"/>
    <x v="1"/>
    <s v="No"/>
    <s v="-"/>
    <s v="Yes"/>
    <n v="20"/>
    <n v="10"/>
    <n v="20"/>
  </r>
  <r>
    <n v="3409"/>
    <s v="Paulo Quintana"/>
    <s v="Core"/>
    <d v="2024-08-22T00:00:00"/>
    <x v="1"/>
    <n v="5"/>
    <x v="2"/>
    <s v="No"/>
    <s v="-"/>
    <s v="No"/>
    <n v="0"/>
    <n v="1"/>
    <n v="4"/>
  </r>
  <r>
    <n v="3410"/>
    <s v="Raquel Domingos"/>
    <s v="Ultimate"/>
    <d v="2024-08-23T00:00:00"/>
    <x v="0"/>
    <n v="15"/>
    <x v="0"/>
    <s v="Yes"/>
    <n v="30"/>
    <s v="Yes"/>
    <n v="20"/>
    <n v="15"/>
    <n v="50"/>
  </r>
  <r>
    <n v="3411"/>
    <s v="Samuel Viana"/>
    <s v="Standard"/>
    <d v="2024-08-24T00:00:00"/>
    <x v="1"/>
    <n v="10"/>
    <x v="0"/>
    <s v="No"/>
    <s v="-"/>
    <s v="Yes"/>
    <n v="20"/>
    <n v="5"/>
    <n v="25"/>
  </r>
  <r>
    <n v="3412"/>
    <s v="Tatiane Rocha"/>
    <s v="Core"/>
    <d v="2024-08-25T00:00:00"/>
    <x v="0"/>
    <n v="5"/>
    <x v="1"/>
    <s v="No"/>
    <s v="-"/>
    <s v="No"/>
    <n v="0"/>
    <n v="0"/>
    <n v="5"/>
  </r>
  <r>
    <n v="3413"/>
    <s v="Ulysses Farias"/>
    <s v="Ultimate"/>
    <d v="2024-08-26T00:00:00"/>
    <x v="1"/>
    <n v="15"/>
    <x v="2"/>
    <s v="Yes"/>
    <n v="30"/>
    <s v="Yes"/>
    <n v="20"/>
    <n v="20"/>
    <n v="45"/>
  </r>
  <r>
    <n v="3414"/>
    <s v="Vanessa Moreira"/>
    <s v="Standard"/>
    <d v="2024-08-27T00:00:00"/>
    <x v="0"/>
    <n v="10"/>
    <x v="2"/>
    <s v="No"/>
    <s v="-"/>
    <s v="Yes"/>
    <n v="20"/>
    <n v="12"/>
    <n v="18"/>
  </r>
  <r>
    <n v="3415"/>
    <s v="William Carvalho"/>
    <s v="Core"/>
    <d v="2024-08-28T00:00:00"/>
    <x v="1"/>
    <n v="5"/>
    <x v="0"/>
    <s v="No"/>
    <s v="-"/>
    <s v="No"/>
    <n v="0"/>
    <n v="2"/>
    <n v="3"/>
  </r>
  <r>
    <n v="3416"/>
    <s v="Ximena Barros"/>
    <s v="Ultimate"/>
    <d v="2024-08-29T00:00:00"/>
    <x v="0"/>
    <n v="15"/>
    <x v="1"/>
    <s v="Yes"/>
    <n v="30"/>
    <s v="Yes"/>
    <n v="20"/>
    <n v="5"/>
    <n v="60"/>
  </r>
  <r>
    <n v="3417"/>
    <s v="Yara Machado"/>
    <s v="Standard"/>
    <d v="2024-08-30T00:00:00"/>
    <x v="1"/>
    <n v="10"/>
    <x v="0"/>
    <s v="No"/>
    <s v="-"/>
    <s v="Yes"/>
    <n v="20"/>
    <n v="10"/>
    <n v="20"/>
  </r>
  <r>
    <n v="3418"/>
    <s v="Zacarias Costa"/>
    <s v="Core"/>
    <d v="2024-08-31T00:00:00"/>
    <x v="0"/>
    <n v="5"/>
    <x v="2"/>
    <s v="No"/>
    <s v="-"/>
    <s v="No"/>
    <n v="0"/>
    <n v="0"/>
    <n v="5"/>
  </r>
  <r>
    <n v="3419"/>
    <s v="André Lopes"/>
    <s v="Ultimate"/>
    <d v="2024-09-01T00:00:00"/>
    <x v="1"/>
    <n v="15"/>
    <x v="0"/>
    <s v="Yes"/>
    <n v="30"/>
    <s v="Yes"/>
    <n v="20"/>
    <n v="3"/>
    <n v="62"/>
  </r>
  <r>
    <n v="3420"/>
    <s v="Beatriz Souza"/>
    <s v="Standard"/>
    <d v="2024-09-02T00:00:00"/>
    <x v="0"/>
    <n v="10"/>
    <x v="1"/>
    <s v="No"/>
    <s v="-"/>
    <s v="Yes"/>
    <n v="20"/>
    <n v="15"/>
    <n v="15"/>
  </r>
  <r>
    <n v="3421"/>
    <s v="Caio Pereira"/>
    <s v="Core"/>
    <d v="2024-09-03T00:00:00"/>
    <x v="1"/>
    <n v="5"/>
    <x v="0"/>
    <s v="No"/>
    <s v="-"/>
    <s v="No"/>
    <n v="0"/>
    <n v="1"/>
    <n v="4"/>
  </r>
  <r>
    <n v="3422"/>
    <s v="Daniela Araújo"/>
    <s v="Ultimate"/>
    <d v="2024-09-04T00:00:00"/>
    <x v="0"/>
    <n v="15"/>
    <x v="2"/>
    <s v="Yes"/>
    <n v="30"/>
    <s v="Yes"/>
    <n v="20"/>
    <n v="7"/>
    <n v="58"/>
  </r>
  <r>
    <n v="3423"/>
    <s v="Eduardo Santos"/>
    <s v="Standard"/>
    <d v="2024-09-05T00:00:00"/>
    <x v="1"/>
    <n v="10"/>
    <x v="0"/>
    <s v="No"/>
    <s v="-"/>
    <s v="Yes"/>
    <n v="20"/>
    <n v="10"/>
    <n v="20"/>
  </r>
  <r>
    <n v="3424"/>
    <s v="Fernanda Lima"/>
    <s v="Core"/>
    <d v="2024-09-06T00:00:00"/>
    <x v="0"/>
    <n v="5"/>
    <x v="1"/>
    <s v="No"/>
    <s v="-"/>
    <s v="No"/>
    <n v="0"/>
    <n v="0"/>
    <n v="5"/>
  </r>
  <r>
    <n v="3425"/>
    <s v="Gabriel Teixeira"/>
    <s v="Ultimate"/>
    <d v="2024-09-07T00:00:00"/>
    <x v="1"/>
    <n v="15"/>
    <x v="0"/>
    <s v="Yes"/>
    <n v="30"/>
    <s v="Yes"/>
    <n v="20"/>
    <n v="20"/>
    <n v="45"/>
  </r>
  <r>
    <n v="3426"/>
    <s v="Helena Ribeiro"/>
    <s v="Standard"/>
    <d v="2024-09-08T00:00:00"/>
    <x v="0"/>
    <n v="10"/>
    <x v="2"/>
    <s v="No"/>
    <s v="-"/>
    <s v="Yes"/>
    <n v="20"/>
    <n v="15"/>
    <n v="15"/>
  </r>
  <r>
    <n v="3427"/>
    <s v="Igor Mendes"/>
    <s v="Core"/>
    <d v="2024-09-09T00:00:00"/>
    <x v="1"/>
    <n v="5"/>
    <x v="0"/>
    <s v="No"/>
    <s v="-"/>
    <s v="No"/>
    <n v="0"/>
    <n v="1"/>
    <n v="4"/>
  </r>
  <r>
    <n v="3428"/>
    <s v="Joana Silveira"/>
    <s v="Ultimate"/>
    <d v="2024-09-10T00:00:00"/>
    <x v="0"/>
    <n v="15"/>
    <x v="1"/>
    <s v="Yes"/>
    <n v="30"/>
    <s v="Yes"/>
    <n v="20"/>
    <n v="3"/>
    <n v="62"/>
  </r>
  <r>
    <n v="3429"/>
    <s v="Lucas Martins"/>
    <s v="Standard"/>
    <d v="2024-09-11T00:00:00"/>
    <x v="1"/>
    <n v="10"/>
    <x v="0"/>
    <s v="No"/>
    <s v="-"/>
    <s v="Yes"/>
    <n v="20"/>
    <n v="10"/>
    <n v="20"/>
  </r>
  <r>
    <n v="3430"/>
    <s v="Marcela Gouveia"/>
    <s v="Core"/>
    <d v="2024-09-12T00:00:00"/>
    <x v="0"/>
    <n v="5"/>
    <x v="2"/>
    <s v="No"/>
    <s v="-"/>
    <s v="No"/>
    <n v="0"/>
    <n v="0"/>
    <n v="5"/>
  </r>
  <r>
    <n v="3431"/>
    <s v="Nicolas Borges"/>
    <s v="Ultimate"/>
    <d v="2024-09-13T00:00:00"/>
    <x v="1"/>
    <n v="15"/>
    <x v="0"/>
    <s v="Yes"/>
    <n v="30"/>
    <s v="Yes"/>
    <n v="20"/>
    <n v="15"/>
    <n v="50"/>
  </r>
  <r>
    <n v="3432"/>
    <s v="Olivia Freitas"/>
    <s v="Standard"/>
    <d v="2024-09-14T00:00:00"/>
    <x v="0"/>
    <n v="10"/>
    <x v="1"/>
    <s v="No"/>
    <s v="-"/>
    <s v="Yes"/>
    <n v="20"/>
    <n v="15"/>
    <n v="15"/>
  </r>
  <r>
    <n v="3433"/>
    <s v="Paulo Nogueira"/>
    <s v="Core"/>
    <d v="2024-09-15T00:00:00"/>
    <x v="1"/>
    <n v="5"/>
    <x v="0"/>
    <s v="No"/>
    <s v="-"/>
    <s v="No"/>
    <n v="0"/>
    <n v="1"/>
    <n v="4"/>
  </r>
  <r>
    <n v="3434"/>
    <s v="Raquel Andrade"/>
    <s v="Ultimate"/>
    <d v="2024-09-16T00:00:00"/>
    <x v="0"/>
    <n v="15"/>
    <x v="2"/>
    <s v="Yes"/>
    <n v="30"/>
    <s v="Yes"/>
    <n v="20"/>
    <n v="7"/>
    <n v="58"/>
  </r>
  <r>
    <n v="3435"/>
    <s v="Sônia Carvalho"/>
    <s v="Standard"/>
    <d v="2024-09-17T00:00:00"/>
    <x v="1"/>
    <n v="10"/>
    <x v="0"/>
    <s v="No"/>
    <s v="-"/>
    <s v="Yes"/>
    <n v="20"/>
    <n v="10"/>
    <n v="20"/>
  </r>
  <r>
    <n v="3436"/>
    <s v="Tiago Rodrigues"/>
    <s v="Core"/>
    <d v="2024-09-18T00:00:00"/>
    <x v="0"/>
    <n v="5"/>
    <x v="0"/>
    <s v="No"/>
    <s v="-"/>
    <s v="No"/>
    <n v="0"/>
    <n v="0"/>
    <n v="5"/>
  </r>
  <r>
    <n v="3437"/>
    <s v="Ursula Monteiro"/>
    <s v="Ultimate"/>
    <d v="2024-09-19T00:00:00"/>
    <x v="1"/>
    <n v="15"/>
    <x v="2"/>
    <s v="Yes"/>
    <n v="30"/>
    <s v="Yes"/>
    <n v="20"/>
    <n v="7"/>
    <n v="58"/>
  </r>
  <r>
    <n v="3438"/>
    <s v="Vanessa Pereira"/>
    <s v="Standard"/>
    <d v="2024-09-20T00:00:00"/>
    <x v="0"/>
    <n v="10"/>
    <x v="1"/>
    <s v="No"/>
    <s v="-"/>
    <s v="Yes"/>
    <n v="20"/>
    <n v="10"/>
    <n v="20"/>
  </r>
  <r>
    <n v="3439"/>
    <s v="Walter Silva"/>
    <s v="Core"/>
    <d v="2024-09-21T00:00:00"/>
    <x v="1"/>
    <n v="5"/>
    <x v="2"/>
    <s v="No"/>
    <s v="-"/>
    <s v="No"/>
    <n v="0"/>
    <n v="1"/>
    <n v="4"/>
  </r>
  <r>
    <n v="3440"/>
    <s v="Xavier Almeida"/>
    <s v="Ultimate"/>
    <d v="2024-09-22T00:00:00"/>
    <x v="0"/>
    <n v="15"/>
    <x v="0"/>
    <s v="Yes"/>
    <n v="30"/>
    <s v="Yes"/>
    <n v="20"/>
    <n v="15"/>
    <n v="50"/>
  </r>
  <r>
    <n v="3441"/>
    <s v="Yasmine Correia"/>
    <s v="Standard"/>
    <d v="2024-09-23T00:00:00"/>
    <x v="1"/>
    <n v="10"/>
    <x v="0"/>
    <s v="No"/>
    <s v="-"/>
    <s v="Yes"/>
    <n v="20"/>
    <n v="5"/>
    <n v="25"/>
  </r>
  <r>
    <n v="3442"/>
    <s v="Zacarias Almeida"/>
    <s v="Core"/>
    <d v="2024-09-24T00:00:00"/>
    <x v="0"/>
    <n v="5"/>
    <x v="1"/>
    <s v="No"/>
    <s v="-"/>
    <s v="No"/>
    <n v="0"/>
    <n v="0"/>
    <n v="5"/>
  </r>
  <r>
    <n v="3443"/>
    <s v="Amanda Costa"/>
    <s v="Ultimate"/>
    <d v="2024-09-25T00:00:00"/>
    <x v="1"/>
    <n v="15"/>
    <x v="2"/>
    <s v="Yes"/>
    <n v="30"/>
    <s v="Yes"/>
    <n v="20"/>
    <n v="20"/>
    <n v="45"/>
  </r>
  <r>
    <n v="3444"/>
    <s v="Bruno Ferreira"/>
    <s v="Standard"/>
    <d v="2024-09-26T00:00:00"/>
    <x v="0"/>
    <n v="10"/>
    <x v="2"/>
    <s v="No"/>
    <s v="-"/>
    <s v="Yes"/>
    <n v="20"/>
    <n v="12"/>
    <n v="18"/>
  </r>
  <r>
    <n v="3445"/>
    <s v="Carla Dias"/>
    <s v="Core"/>
    <d v="2024-09-27T00:00:00"/>
    <x v="1"/>
    <n v="5"/>
    <x v="0"/>
    <s v="No"/>
    <s v="-"/>
    <s v="No"/>
    <n v="0"/>
    <n v="2"/>
    <n v="3"/>
  </r>
  <r>
    <n v="3446"/>
    <s v="Diogo Martins"/>
    <s v="Ultimate"/>
    <d v="2024-09-28T00:00:00"/>
    <x v="0"/>
    <n v="15"/>
    <x v="1"/>
    <s v="Yes"/>
    <n v="30"/>
    <s v="Yes"/>
    <n v="20"/>
    <n v="5"/>
    <n v="60"/>
  </r>
  <r>
    <n v="3447"/>
    <s v="Elisa Campos"/>
    <s v="Standard"/>
    <d v="2024-09-29T00:00:00"/>
    <x v="1"/>
    <n v="10"/>
    <x v="0"/>
    <s v="No"/>
    <s v="-"/>
    <s v="Yes"/>
    <n v="20"/>
    <n v="10"/>
    <n v="20"/>
  </r>
  <r>
    <n v="3448"/>
    <s v="Fabiana Lima"/>
    <s v="Core"/>
    <d v="2024-09-30T00:00:00"/>
    <x v="0"/>
    <n v="5"/>
    <x v="2"/>
    <s v="No"/>
    <s v="-"/>
    <s v="No"/>
    <n v="0"/>
    <n v="0"/>
    <n v="5"/>
  </r>
  <r>
    <n v="3449"/>
    <s v="Gabriel Santos"/>
    <s v="Ultimate"/>
    <d v="2024-10-01T00:00:00"/>
    <x v="1"/>
    <n v="15"/>
    <x v="0"/>
    <s v="Yes"/>
    <n v="30"/>
    <s v="Yes"/>
    <n v="20"/>
    <n v="3"/>
    <n v="62"/>
  </r>
  <r>
    <n v="3450"/>
    <s v="Helena Ferreira"/>
    <s v="Standard"/>
    <d v="2024-10-02T00:00:00"/>
    <x v="0"/>
    <n v="10"/>
    <x v="1"/>
    <s v="No"/>
    <s v="-"/>
    <s v="Yes"/>
    <n v="20"/>
    <n v="15"/>
    <n v="15"/>
  </r>
  <r>
    <n v="3451"/>
    <s v="Ígor Nunes"/>
    <s v="Core"/>
    <d v="2024-10-03T00:00:00"/>
    <x v="1"/>
    <n v="5"/>
    <x v="0"/>
    <s v="No"/>
    <s v="-"/>
    <s v="No"/>
    <n v="0"/>
    <n v="1"/>
    <n v="4"/>
  </r>
  <r>
    <n v="3452"/>
    <s v="Joana Silveira"/>
    <s v="Ultimate"/>
    <d v="2024-10-04T00:00:00"/>
    <x v="0"/>
    <n v="15"/>
    <x v="2"/>
    <s v="Yes"/>
    <n v="30"/>
    <s v="Yes"/>
    <n v="20"/>
    <n v="7"/>
    <n v="58"/>
  </r>
  <r>
    <n v="3453"/>
    <s v="Kléber Oliveira"/>
    <s v="Standard"/>
    <d v="2024-10-05T00:00:00"/>
    <x v="1"/>
    <n v="10"/>
    <x v="0"/>
    <s v="No"/>
    <s v="-"/>
    <s v="Yes"/>
    <n v="20"/>
    <n v="10"/>
    <n v="20"/>
  </r>
  <r>
    <n v="3454"/>
    <s v="Luciana Morais"/>
    <s v="Core"/>
    <d v="2024-10-06T00:00:00"/>
    <x v="0"/>
    <n v="5"/>
    <x v="1"/>
    <s v="No"/>
    <s v="-"/>
    <s v="No"/>
    <n v="0"/>
    <n v="0"/>
    <n v="5"/>
  </r>
  <r>
    <n v="3455"/>
    <s v="Marcos Vinícius"/>
    <s v="Ultimate"/>
    <d v="2024-10-07T00:00:00"/>
    <x v="1"/>
    <n v="15"/>
    <x v="0"/>
    <s v="Yes"/>
    <n v="30"/>
    <s v="Yes"/>
    <n v="20"/>
    <n v="20"/>
    <n v="45"/>
  </r>
  <r>
    <n v="3456"/>
    <s v="Natália Barros"/>
    <s v="Standard"/>
    <d v="2024-10-08T00:00:00"/>
    <x v="0"/>
    <n v="10"/>
    <x v="2"/>
    <s v="No"/>
    <s v="-"/>
    <s v="Yes"/>
    <n v="20"/>
    <n v="15"/>
    <n v="15"/>
  </r>
  <r>
    <n v="3457"/>
    <s v="Oscar Sampaio"/>
    <s v="Core"/>
    <d v="2024-10-09T00:00:00"/>
    <x v="1"/>
    <n v="5"/>
    <x v="0"/>
    <s v="No"/>
    <s v="-"/>
    <s v="No"/>
    <n v="0"/>
    <n v="1"/>
    <n v="4"/>
  </r>
  <r>
    <n v="3458"/>
    <s v="Patrícia Leite"/>
    <s v="Ultimate"/>
    <d v="2024-10-10T00:00:00"/>
    <x v="0"/>
    <n v="15"/>
    <x v="1"/>
    <s v="Yes"/>
    <n v="30"/>
    <s v="Yes"/>
    <n v="20"/>
    <n v="3"/>
    <n v="62"/>
  </r>
  <r>
    <n v="3459"/>
    <s v="Quênia Rocha"/>
    <s v="Standard"/>
    <d v="2024-10-11T00:00:00"/>
    <x v="1"/>
    <n v="10"/>
    <x v="0"/>
    <s v="No"/>
    <s v="-"/>
    <s v="Yes"/>
    <n v="20"/>
    <n v="10"/>
    <n v="20"/>
  </r>
  <r>
    <n v="3460"/>
    <s v="Rafael Torres"/>
    <s v="Core"/>
    <d v="2024-10-12T00:00:00"/>
    <x v="0"/>
    <n v="5"/>
    <x v="2"/>
    <s v="No"/>
    <s v="-"/>
    <s v="No"/>
    <n v="0"/>
    <n v="0"/>
    <n v="5"/>
  </r>
  <r>
    <n v="3461"/>
    <s v="Sandra Gouveia"/>
    <s v="Ultimate"/>
    <d v="2024-10-13T00:00:00"/>
    <x v="1"/>
    <n v="15"/>
    <x v="0"/>
    <s v="Yes"/>
    <n v="30"/>
    <s v="Yes"/>
    <n v="20"/>
    <n v="15"/>
    <n v="50"/>
  </r>
  <r>
    <n v="3462"/>
    <s v="Tiago Lacerda"/>
    <s v="Standard"/>
    <d v="2024-10-14T00:00:00"/>
    <x v="0"/>
    <n v="10"/>
    <x v="1"/>
    <s v="No"/>
    <s v="-"/>
    <s v="Yes"/>
    <n v="20"/>
    <n v="15"/>
    <n v="15"/>
  </r>
  <r>
    <n v="3463"/>
    <s v="Ursula Fonseca"/>
    <s v="Core"/>
    <d v="2024-10-15T00:00:00"/>
    <x v="1"/>
    <n v="5"/>
    <x v="0"/>
    <s v="No"/>
    <s v="-"/>
    <s v="No"/>
    <n v="0"/>
    <n v="1"/>
    <n v="4"/>
  </r>
  <r>
    <n v="3464"/>
    <s v="Vanessa Andrade"/>
    <s v="Ultimate"/>
    <d v="2024-10-16T00:00:00"/>
    <x v="0"/>
    <n v="15"/>
    <x v="2"/>
    <s v="Yes"/>
    <n v="30"/>
    <s v="Yes"/>
    <n v="20"/>
    <n v="7"/>
    <n v="58"/>
  </r>
  <r>
    <n v="3465"/>
    <s v="William Castro"/>
    <s v="Standard"/>
    <d v="2024-10-17T00:00:00"/>
    <x v="1"/>
    <n v="10"/>
    <x v="0"/>
    <s v="No"/>
    <s v="-"/>
    <s v="Yes"/>
    <n v="20"/>
    <n v="10"/>
    <n v="20"/>
  </r>
  <r>
    <n v="3466"/>
    <s v="Xavier Monteiro"/>
    <s v="Core"/>
    <d v="2024-10-18T00:00:00"/>
    <x v="0"/>
    <n v="5"/>
    <x v="1"/>
    <s v="No"/>
    <s v="-"/>
    <s v="No"/>
    <n v="0"/>
    <n v="0"/>
    <n v="5"/>
  </r>
  <r>
    <n v="3467"/>
    <s v="Yasmin Figueira"/>
    <s v="Ultimate"/>
    <d v="2024-10-19T00:00:00"/>
    <x v="1"/>
    <n v="15"/>
    <x v="0"/>
    <s v="Yes"/>
    <n v="30"/>
    <s v="Yes"/>
    <n v="20"/>
    <n v="15"/>
    <n v="50"/>
  </r>
  <r>
    <n v="3468"/>
    <s v="Zacarias Mendonça"/>
    <s v="Standard"/>
    <d v="2024-10-20T00:00:00"/>
    <x v="0"/>
    <n v="10"/>
    <x v="2"/>
    <s v="No"/>
    <s v="-"/>
    <s v="Yes"/>
    <n v="20"/>
    <n v="12"/>
    <n v="18"/>
  </r>
  <r>
    <n v="3469"/>
    <s v="Amanda Menezes"/>
    <s v="Core"/>
    <d v="2024-10-21T00:00:00"/>
    <x v="1"/>
    <n v="5"/>
    <x v="0"/>
    <s v="No"/>
    <s v="-"/>
    <s v="No"/>
    <n v="0"/>
    <n v="2"/>
    <n v="3"/>
  </r>
  <r>
    <n v="3470"/>
    <s v="Bruno Santos"/>
    <s v="Ultimate"/>
    <d v="2024-10-22T00:00:00"/>
    <x v="0"/>
    <n v="15"/>
    <x v="1"/>
    <s v="Yes"/>
    <n v="30"/>
    <s v="Yes"/>
    <n v="20"/>
    <n v="5"/>
    <n v="60"/>
  </r>
  <r>
    <n v="3471"/>
    <s v="Carla Ferreira"/>
    <s v="Standard"/>
    <d v="2024-10-23T00:00:00"/>
    <x v="1"/>
    <n v="10"/>
    <x v="0"/>
    <s v="No"/>
    <s v="-"/>
    <s v="Yes"/>
    <n v="20"/>
    <n v="10"/>
    <n v="20"/>
  </r>
  <r>
    <n v="3472"/>
    <s v="Diogo Alves"/>
    <s v="Core"/>
    <d v="2024-10-24T00:00:00"/>
    <x v="0"/>
    <n v="5"/>
    <x v="2"/>
    <s v="No"/>
    <s v="-"/>
    <s v="No"/>
    <n v="0"/>
    <n v="0"/>
    <n v="5"/>
  </r>
  <r>
    <n v="3473"/>
    <s v="Elisa Neves"/>
    <s v="Ultimate"/>
    <d v="2024-10-25T00:00:00"/>
    <x v="1"/>
    <n v="15"/>
    <x v="0"/>
    <s v="Yes"/>
    <n v="30"/>
    <s v="Yes"/>
    <n v="20"/>
    <n v="3"/>
    <n v="62"/>
  </r>
  <r>
    <n v="3474"/>
    <s v="Fabiano Pires"/>
    <s v="Standard"/>
    <d v="2024-10-26T00:00:00"/>
    <x v="0"/>
    <n v="10"/>
    <x v="1"/>
    <s v="No"/>
    <s v="-"/>
    <s v="Yes"/>
    <n v="20"/>
    <n v="15"/>
    <n v="15"/>
  </r>
  <r>
    <n v="3475"/>
    <s v="Giovana Ribeiro"/>
    <s v="Core"/>
    <d v="2024-10-27T00:00:00"/>
    <x v="1"/>
    <n v="5"/>
    <x v="0"/>
    <s v="No"/>
    <s v="-"/>
    <s v="No"/>
    <n v="0"/>
    <n v="1"/>
    <n v="4"/>
  </r>
  <r>
    <n v="3476"/>
    <s v="Hélio Costa"/>
    <s v="Ultimate"/>
    <d v="2024-10-28T00:00:00"/>
    <x v="0"/>
    <n v="15"/>
    <x v="2"/>
    <s v="Yes"/>
    <n v="30"/>
    <s v="Yes"/>
    <n v="20"/>
    <n v="7"/>
    <n v="58"/>
  </r>
  <r>
    <n v="3477"/>
    <s v="Íris Loureiro"/>
    <s v="Standard"/>
    <d v="2024-10-29T00:00:00"/>
    <x v="1"/>
    <n v="10"/>
    <x v="0"/>
    <s v="No"/>
    <s v="-"/>
    <s v="Yes"/>
    <n v="20"/>
    <n v="10"/>
    <n v="20"/>
  </r>
  <r>
    <n v="3478"/>
    <s v="João Pereira"/>
    <s v="Core"/>
    <d v="2024-10-30T00:00:00"/>
    <x v="0"/>
    <n v="5"/>
    <x v="1"/>
    <s v="No"/>
    <s v="-"/>
    <s v="No"/>
    <n v="0"/>
    <n v="0"/>
    <n v="5"/>
  </r>
  <r>
    <n v="3479"/>
    <s v="Klara Silva"/>
    <s v="Ultimate"/>
    <d v="2024-10-31T00:00:00"/>
    <x v="1"/>
    <n v="15"/>
    <x v="0"/>
    <s v="Yes"/>
    <n v="30"/>
    <s v="Yes"/>
    <n v="20"/>
    <n v="20"/>
    <n v="45"/>
  </r>
  <r>
    <n v="3480"/>
    <s v="Luciana Barros"/>
    <s v="Standard"/>
    <d v="2024-11-01T00:00:00"/>
    <x v="0"/>
    <n v="10"/>
    <x v="2"/>
    <s v="No"/>
    <s v="-"/>
    <s v="Yes"/>
    <n v="20"/>
    <n v="15"/>
    <n v="15"/>
  </r>
  <r>
    <n v="3481"/>
    <s v="Marcos Gomes"/>
    <s v="Core"/>
    <d v="2024-11-02T00:00:00"/>
    <x v="1"/>
    <n v="5"/>
    <x v="0"/>
    <s v="No"/>
    <s v="-"/>
    <s v="No"/>
    <n v="0"/>
    <n v="1"/>
    <n v="4"/>
  </r>
  <r>
    <n v="3482"/>
    <s v="Natália Soares"/>
    <s v="Ultimate"/>
    <d v="2024-11-03T00:00:00"/>
    <x v="0"/>
    <n v="15"/>
    <x v="1"/>
    <s v="Yes"/>
    <n v="30"/>
    <s v="Yes"/>
    <n v="20"/>
    <n v="3"/>
    <n v="62"/>
  </r>
  <r>
    <n v="3483"/>
    <s v="Oscar Machado"/>
    <s v="Standard"/>
    <d v="2024-11-04T00:00:00"/>
    <x v="1"/>
    <n v="10"/>
    <x v="0"/>
    <s v="No"/>
    <s v="-"/>
    <s v="Yes"/>
    <n v="20"/>
    <n v="10"/>
    <n v="20"/>
  </r>
  <r>
    <n v="3484"/>
    <s v="Patrícia Lima"/>
    <s v="Core"/>
    <d v="2024-11-05T00:00:00"/>
    <x v="0"/>
    <n v="5"/>
    <x v="2"/>
    <s v="No"/>
    <s v="-"/>
    <s v="No"/>
    <n v="0"/>
    <n v="0"/>
    <n v="5"/>
  </r>
  <r>
    <n v="3485"/>
    <s v="Quirino Neto"/>
    <s v="Ultimate"/>
    <d v="2024-11-06T00:00:00"/>
    <x v="1"/>
    <n v="15"/>
    <x v="0"/>
    <s v="Yes"/>
    <n v="30"/>
    <s v="Yes"/>
    <n v="20"/>
    <n v="15"/>
    <n v="50"/>
  </r>
  <r>
    <n v="3486"/>
    <s v="Rafaela Souza"/>
    <s v="Core"/>
    <d v="2024-11-07T00:00:00"/>
    <x v="0"/>
    <n v="5"/>
    <x v="0"/>
    <s v="No"/>
    <s v="-"/>
    <s v="No"/>
    <n v="0"/>
    <n v="0"/>
    <n v="5"/>
  </r>
  <r>
    <n v="3487"/>
    <s v="Sandro Almeida"/>
    <s v="Ultimate"/>
    <d v="2024-11-08T00:00:00"/>
    <x v="1"/>
    <n v="15"/>
    <x v="2"/>
    <s v="Yes"/>
    <n v="30"/>
    <s v="Yes"/>
    <n v="20"/>
    <n v="7"/>
    <n v="58"/>
  </r>
  <r>
    <n v="3488"/>
    <s v="Tânia Ribeiro"/>
    <s v="Standard"/>
    <d v="2024-11-09T00:00:00"/>
    <x v="0"/>
    <n v="10"/>
    <x v="1"/>
    <s v="No"/>
    <s v="-"/>
    <s v="Yes"/>
    <n v="20"/>
    <n v="10"/>
    <n v="20"/>
  </r>
  <r>
    <n v="3489"/>
    <s v="Ugo Dias"/>
    <s v="Core"/>
    <d v="2024-11-10T00:00:00"/>
    <x v="1"/>
    <n v="5"/>
    <x v="2"/>
    <s v="No"/>
    <s v="-"/>
    <s v="No"/>
    <n v="0"/>
    <n v="1"/>
    <n v="4"/>
  </r>
  <r>
    <n v="3490"/>
    <s v="Valéria Lima"/>
    <s v="Ultimate"/>
    <d v="2024-11-11T00:00:00"/>
    <x v="0"/>
    <n v="15"/>
    <x v="0"/>
    <s v="Yes"/>
    <n v="30"/>
    <s v="Yes"/>
    <n v="20"/>
    <n v="15"/>
    <n v="50"/>
  </r>
  <r>
    <n v="3491"/>
    <s v="William Fernandes"/>
    <s v="Standard"/>
    <d v="2024-11-12T00:00:00"/>
    <x v="1"/>
    <n v="10"/>
    <x v="0"/>
    <s v="No"/>
    <s v="-"/>
    <s v="Yes"/>
    <n v="20"/>
    <n v="5"/>
    <n v="25"/>
  </r>
  <r>
    <n v="3492"/>
    <s v="Xuxa Mendes"/>
    <s v="Core"/>
    <d v="2024-11-13T00:00:00"/>
    <x v="0"/>
    <n v="5"/>
    <x v="1"/>
    <s v="No"/>
    <s v="-"/>
    <s v="No"/>
    <n v="0"/>
    <n v="0"/>
    <n v="5"/>
  </r>
  <r>
    <n v="3493"/>
    <s v="Ygor Farias"/>
    <s v="Ultimate"/>
    <d v="2024-11-14T00:00:00"/>
    <x v="1"/>
    <n v="15"/>
    <x v="2"/>
    <s v="Yes"/>
    <n v="30"/>
    <s v="Yes"/>
    <n v="20"/>
    <n v="20"/>
    <n v="45"/>
  </r>
  <r>
    <n v="3494"/>
    <s v="Zilda Barros"/>
    <s v="Standard"/>
    <d v="2024-11-15T00:00:00"/>
    <x v="0"/>
    <n v="10"/>
    <x v="2"/>
    <s v="No"/>
    <s v="-"/>
    <s v="Yes"/>
    <n v="20"/>
    <n v="12"/>
    <n v="18"/>
  </r>
  <r>
    <n v="3495"/>
    <s v="Amanda Santos"/>
    <s v="Core"/>
    <d v="2024-11-16T00:00:00"/>
    <x v="1"/>
    <n v="5"/>
    <x v="0"/>
    <s v="No"/>
    <s v="-"/>
    <s v="No"/>
    <n v="0"/>
    <n v="2"/>
    <n v="3"/>
  </r>
  <r>
    <n v="3496"/>
    <s v="Bruno Costa"/>
    <s v="Ultimate"/>
    <d v="2024-11-17T00:00:00"/>
    <x v="0"/>
    <n v="15"/>
    <x v="1"/>
    <s v="Yes"/>
    <n v="30"/>
    <s v="Yes"/>
    <n v="20"/>
    <n v="5"/>
    <n v="60"/>
  </r>
  <r>
    <n v="3497"/>
    <s v="Carla Rodrigues"/>
    <s v="Standard"/>
    <d v="2024-11-18T00:00:00"/>
    <x v="1"/>
    <n v="10"/>
    <x v="0"/>
    <s v="No"/>
    <s v="-"/>
    <s v="Yes"/>
    <n v="20"/>
    <n v="10"/>
    <n v="20"/>
  </r>
  <r>
    <n v="3498"/>
    <s v="Diogo Pereira"/>
    <s v="Core"/>
    <d v="2024-11-19T00:00:00"/>
    <x v="0"/>
    <n v="5"/>
    <x v="2"/>
    <s v="No"/>
    <s v="-"/>
    <s v="No"/>
    <n v="0"/>
    <n v="0"/>
    <n v="5"/>
  </r>
  <r>
    <n v="3499"/>
    <s v="Elisa Correia"/>
    <s v="Ultimate"/>
    <d v="2024-11-20T00:00:00"/>
    <x v="1"/>
    <n v="15"/>
    <x v="0"/>
    <s v="Yes"/>
    <n v="30"/>
    <s v="Yes"/>
    <n v="20"/>
    <n v="3"/>
    <n v="62"/>
  </r>
  <r>
    <n v="3500"/>
    <s v="Fábio Lourenço"/>
    <s v="Standard"/>
    <d v="2024-11-21T00:00:00"/>
    <x v="0"/>
    <n v="10"/>
    <x v="1"/>
    <s v="No"/>
    <s v="-"/>
    <s v="Yes"/>
    <n v="20"/>
    <n v="15"/>
    <n v="15"/>
  </r>
  <r>
    <n v="3501"/>
    <s v="Gabriela Neves"/>
    <s v="Core"/>
    <d v="2024-11-22T00:00:00"/>
    <x v="1"/>
    <n v="5"/>
    <x v="0"/>
    <s v="No"/>
    <s v="-"/>
    <s v="No"/>
    <n v="0"/>
    <n v="1"/>
    <n v="4"/>
  </r>
  <r>
    <n v="3502"/>
    <s v="Henrique Gonçalves"/>
    <s v="Ultimate"/>
    <d v="2024-11-23T00:00:00"/>
    <x v="0"/>
    <n v="15"/>
    <x v="2"/>
    <s v="Yes"/>
    <n v="30"/>
    <s v="Yes"/>
    <n v="20"/>
    <n v="7"/>
    <n v="58"/>
  </r>
  <r>
    <n v="3503"/>
    <s v="Íris Santos"/>
    <s v="Standard"/>
    <d v="2024-11-24T00:00:00"/>
    <x v="1"/>
    <n v="10"/>
    <x v="0"/>
    <s v="No"/>
    <s v="-"/>
    <s v="Yes"/>
    <n v="20"/>
    <n v="10"/>
    <n v="20"/>
  </r>
  <r>
    <n v="3504"/>
    <s v="João Marcelo Alves"/>
    <s v="Core"/>
    <d v="2024-11-25T00:00:00"/>
    <x v="0"/>
    <n v="5"/>
    <x v="1"/>
    <s v="No"/>
    <s v="-"/>
    <s v="No"/>
    <n v="0"/>
    <n v="0"/>
    <n v="5"/>
  </r>
  <r>
    <n v="3505"/>
    <s v="Klara Fonseca"/>
    <s v="Ultimate"/>
    <d v="2024-11-26T00:00:00"/>
    <x v="1"/>
    <n v="15"/>
    <x v="0"/>
    <s v="Yes"/>
    <n v="30"/>
    <s v="Yes"/>
    <n v="20"/>
    <n v="20"/>
    <n v="45"/>
  </r>
  <r>
    <n v="3506"/>
    <s v="Lucas Mendonça"/>
    <s v="Standard"/>
    <d v="2024-11-27T00:00:00"/>
    <x v="0"/>
    <n v="10"/>
    <x v="2"/>
    <s v="No"/>
    <s v="-"/>
    <s v="Yes"/>
    <n v="20"/>
    <n v="15"/>
    <n v="15"/>
  </r>
  <r>
    <n v="3507"/>
    <s v="Marcela Torres"/>
    <s v="Core"/>
    <d v="2024-11-28T00:00:00"/>
    <x v="1"/>
    <n v="5"/>
    <x v="0"/>
    <s v="No"/>
    <s v="-"/>
    <s v="No"/>
    <n v="0"/>
    <n v="1"/>
    <n v="4"/>
  </r>
  <r>
    <n v="3508"/>
    <s v="Natália Castro"/>
    <s v="Ultimate"/>
    <d v="2024-11-29T00:00:00"/>
    <x v="0"/>
    <n v="15"/>
    <x v="1"/>
    <s v="Yes"/>
    <n v="30"/>
    <s v="Yes"/>
    <n v="20"/>
    <n v="3"/>
    <n v="62"/>
  </r>
  <r>
    <n v="3509"/>
    <s v="Oscar Martins"/>
    <s v="Standard"/>
    <d v="2024-11-30T00:00:00"/>
    <x v="1"/>
    <n v="10"/>
    <x v="0"/>
    <s v="No"/>
    <s v="-"/>
    <s v="Yes"/>
    <n v="20"/>
    <n v="10"/>
    <n v="20"/>
  </r>
  <r>
    <n v="3510"/>
    <s v="Patrícia Oliveira"/>
    <s v="Core"/>
    <d v="2024-12-01T00:00:00"/>
    <x v="0"/>
    <n v="5"/>
    <x v="2"/>
    <s v="No"/>
    <s v="-"/>
    <s v="No"/>
    <n v="0"/>
    <n v="0"/>
    <n v="5"/>
  </r>
  <r>
    <n v="3511"/>
    <s v="Quentin Nogueira"/>
    <s v="Ultimate"/>
    <d v="2024-12-02T00:00:00"/>
    <x v="1"/>
    <n v="15"/>
    <x v="0"/>
    <s v="Yes"/>
    <n v="30"/>
    <s v="Yes"/>
    <n v="20"/>
    <n v="15"/>
    <n v="50"/>
  </r>
  <r>
    <n v="3512"/>
    <s v="Raquel Silva"/>
    <s v="Standard"/>
    <d v="2024-12-03T00:00:00"/>
    <x v="0"/>
    <n v="10"/>
    <x v="1"/>
    <s v="No"/>
    <s v="-"/>
    <s v="Yes"/>
    <n v="20"/>
    <n v="15"/>
    <n v="15"/>
  </r>
  <r>
    <n v="3513"/>
    <s v="Sandro Gomes"/>
    <s v="Core"/>
    <d v="2024-12-04T00:00:00"/>
    <x v="1"/>
    <n v="5"/>
    <x v="0"/>
    <s v="No"/>
    <s v="-"/>
    <s v="No"/>
    <n v="0"/>
    <n v="1"/>
    <n v="4"/>
  </r>
  <r>
    <n v="3514"/>
    <s v="Tânia Machado"/>
    <s v="Ultimate"/>
    <d v="2024-12-05T00:00:00"/>
    <x v="0"/>
    <n v="15"/>
    <x v="2"/>
    <s v="Yes"/>
    <n v="30"/>
    <s v="Yes"/>
    <n v="20"/>
    <n v="7"/>
    <n v="58"/>
  </r>
  <r>
    <n v="3515"/>
    <s v="Ursula Silva"/>
    <s v="Standard"/>
    <d v="2024-12-06T00:00:00"/>
    <x v="1"/>
    <n v="10"/>
    <x v="0"/>
    <s v="No"/>
    <s v="-"/>
    <s v="Yes"/>
    <n v="20"/>
    <n v="10"/>
    <n v="20"/>
  </r>
  <r>
    <n v="3516"/>
    <s v="Vanessa Moraes"/>
    <s v="Core"/>
    <d v="2024-12-07T00:00:00"/>
    <x v="0"/>
    <n v="5"/>
    <x v="1"/>
    <s v="No"/>
    <s v="-"/>
    <s v="No"/>
    <n v="0"/>
    <n v="0"/>
    <n v="5"/>
  </r>
  <r>
    <n v="3517"/>
    <s v="William Carvalho"/>
    <s v="Ultimate"/>
    <d v="2024-12-08T00:00:00"/>
    <x v="1"/>
    <n v="15"/>
    <x v="0"/>
    <s v="Yes"/>
    <n v="30"/>
    <s v="Yes"/>
    <n v="20"/>
    <n v="20"/>
    <n v="45"/>
  </r>
  <r>
    <n v="3518"/>
    <s v="Xavier Reis"/>
    <s v="Standard"/>
    <d v="2024-12-09T00:00:00"/>
    <x v="0"/>
    <n v="10"/>
    <x v="2"/>
    <s v="No"/>
    <s v="-"/>
    <s v="Yes"/>
    <n v="20"/>
    <n v="12"/>
    <n v="18"/>
  </r>
  <r>
    <n v="3519"/>
    <s v="Yasmin Rocha"/>
    <s v="Core"/>
    <d v="2024-12-10T00:00:00"/>
    <x v="1"/>
    <n v="5"/>
    <x v="0"/>
    <s v="No"/>
    <s v="-"/>
    <s v="No"/>
    <n v="0"/>
    <n v="2"/>
    <n v="3"/>
  </r>
  <r>
    <n v="3520"/>
    <s v="Zacarias Duarte"/>
    <s v="Ultimate"/>
    <d v="2024-12-11T00:00:00"/>
    <x v="0"/>
    <n v="15"/>
    <x v="1"/>
    <s v="Yes"/>
    <n v="30"/>
    <s v="Yes"/>
    <n v="20"/>
    <n v="5"/>
    <n v="60"/>
  </r>
  <r>
    <n v="3521"/>
    <s v="Amanda Freitas"/>
    <s v="Standard"/>
    <d v="2024-12-12T00:00:00"/>
    <x v="1"/>
    <n v="10"/>
    <x v="0"/>
    <s v="No"/>
    <s v="-"/>
    <s v="Yes"/>
    <n v="20"/>
    <n v="10"/>
    <n v="20"/>
  </r>
  <r>
    <n v="3522"/>
    <s v="Bruno Almeida"/>
    <s v="Core"/>
    <d v="2024-12-13T00:00:00"/>
    <x v="0"/>
    <n v="5"/>
    <x v="2"/>
    <s v="No"/>
    <s v="-"/>
    <s v="No"/>
    <n v="0"/>
    <n v="0"/>
    <n v="5"/>
  </r>
  <r>
    <n v="3523"/>
    <s v="Carla Siqueira"/>
    <s v="Ultimate"/>
    <d v="2024-12-14T00:00:00"/>
    <x v="1"/>
    <n v="15"/>
    <x v="0"/>
    <s v="Yes"/>
    <n v="30"/>
    <s v="Yes"/>
    <n v="20"/>
    <n v="3"/>
    <n v="62"/>
  </r>
  <r>
    <n v="3524"/>
    <s v="Diogo Ramos"/>
    <s v="Standard"/>
    <d v="2024-12-15T00:00:00"/>
    <x v="0"/>
    <n v="10"/>
    <x v="1"/>
    <s v="No"/>
    <s v="-"/>
    <s v="Yes"/>
    <n v="20"/>
    <n v="15"/>
    <n v="15"/>
  </r>
  <r>
    <n v="3525"/>
    <s v="Elisa Magalhães"/>
    <s v="Core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37F82-4D9D-42FE-A16D-712D9FBC4271}" name="tbl_minecraft_total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5:H6" firstHeaderRow="1" firstDataRow="1" firstDataCol="0"/>
  <pivotFields count="13">
    <pivotField showAll="0"/>
    <pivotField showAll="0"/>
    <pivotField showAll="0"/>
    <pivotField numFmtId="14" showAll="0"/>
    <pivotField showAll="0"/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Items count="1">
    <i/>
  </rowItems>
  <colItems count="1">
    <i/>
  </colItems>
  <dataFields count="1">
    <dataField name="Total Minecraft" fld="10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149AD-A5B6-4A94-B5BD-D502647ABD64}" name="tbl_easeasonpass_total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5:E6" firstHeaderRow="1" firstDataRow="1" firstDataCol="0"/>
  <pivotFields count="13">
    <pivotField showAll="0"/>
    <pivotField showAll="0"/>
    <pivotField showAll="0"/>
    <pivotField numFmtId="14" showAll="0"/>
    <pivotField showAll="0"/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Items count="1">
    <i/>
  </rowItems>
  <colItems count="1">
    <i/>
  </colItems>
  <dataFields count="1">
    <dataField name="Total EA Play" fld="8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67599-5D34-4B9C-8BE9-EC9E4FF81867}" name="tbl_gamepass_total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8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Total Game Pass" fld="12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696E385-7B27-41C3-A273-837B9F7DF7CB}" sourceName="Subscription Type">
  <pivotTables>
    <pivotTable tabId="3" name="tbl_gamepass_total"/>
    <pivotTable tabId="3" name="tbl_minecraft_total"/>
    <pivotTable tabId="3" name="tbl_easeasonpass_total"/>
  </pivotTables>
  <data>
    <tabular pivotCacheId="152077568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B5E64D4-07A6-4482-8A22-E22BC9AD9404}" cache="SegmentaçãodeDados_Subscription_Type" caption="Subscription Type" style="SlicerStyleLight6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D66BFA-06FB-409F-B566-2DA658BA5BF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d5a7842-604b-41e3-a25b-6102cf0b9c1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1" zoomScaleNormal="100" workbookViewId="0">
      <selection activeCell="D31" sqref="D31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I14"/>
  <sheetViews>
    <sheetView showGridLines="0" workbookViewId="0">
      <selection activeCell="E12" sqref="E12"/>
    </sheetView>
  </sheetViews>
  <sheetFormatPr defaultRowHeight="14.5" x14ac:dyDescent="0.35"/>
  <cols>
    <col min="1" max="1" width="17" bestFit="1" customWidth="1"/>
    <col min="2" max="2" width="14.54296875" bestFit="1" customWidth="1"/>
    <col min="3" max="4" width="17.26953125" customWidth="1"/>
    <col min="5" max="5" width="11.26953125" bestFit="1" customWidth="1"/>
    <col min="6" max="7" width="17.26953125" customWidth="1"/>
    <col min="8" max="8" width="13.36328125" bestFit="1" customWidth="1"/>
    <col min="9" max="12" width="17.26953125" customWidth="1"/>
    <col min="13" max="15" width="9.7265625" bestFit="1" customWidth="1"/>
    <col min="16" max="16" width="15.54296875" bestFit="1" customWidth="1"/>
    <col min="17" max="17" width="12.1796875" bestFit="1" customWidth="1"/>
  </cols>
  <sheetData>
    <row r="1" spans="1:9" ht="16" x14ac:dyDescent="0.4">
      <c r="A1" s="14" t="s">
        <v>323</v>
      </c>
    </row>
    <row r="3" spans="1:9" x14ac:dyDescent="0.35">
      <c r="A3" s="13" t="s">
        <v>324</v>
      </c>
      <c r="B3" s="13"/>
      <c r="C3" s="13"/>
      <c r="D3" s="13"/>
      <c r="E3" s="13" t="s">
        <v>309</v>
      </c>
      <c r="F3" s="13"/>
      <c r="G3" s="13"/>
      <c r="H3" s="13" t="s">
        <v>30</v>
      </c>
      <c r="I3" s="13"/>
    </row>
    <row r="5" spans="1:9" x14ac:dyDescent="0.35">
      <c r="A5" s="15" t="s">
        <v>313</v>
      </c>
      <c r="B5" t="s">
        <v>315</v>
      </c>
      <c r="E5" t="s">
        <v>316</v>
      </c>
      <c r="H5" t="s">
        <v>317</v>
      </c>
    </row>
    <row r="6" spans="1:9" x14ac:dyDescent="0.35">
      <c r="A6" s="16" t="s">
        <v>23</v>
      </c>
      <c r="B6" s="17">
        <v>806</v>
      </c>
      <c r="E6" s="17">
        <v>990</v>
      </c>
      <c r="H6" s="17">
        <v>1140</v>
      </c>
    </row>
    <row r="7" spans="1:9" x14ac:dyDescent="0.35">
      <c r="A7" s="16" t="s">
        <v>19</v>
      </c>
      <c r="B7" s="17">
        <v>1502</v>
      </c>
    </row>
    <row r="8" spans="1:9" x14ac:dyDescent="0.35">
      <c r="A8" s="16" t="s">
        <v>314</v>
      </c>
      <c r="B8" s="17">
        <v>2308</v>
      </c>
    </row>
    <row r="11" spans="1:9" x14ac:dyDescent="0.35">
      <c r="A11" s="28" t="s">
        <v>325</v>
      </c>
    </row>
    <row r="12" spans="1:9" x14ac:dyDescent="0.35">
      <c r="A12" s="12" t="s">
        <v>15</v>
      </c>
      <c r="B12" s="12" t="s">
        <v>315</v>
      </c>
    </row>
    <row r="13" spans="1:9" x14ac:dyDescent="0.35">
      <c r="A13" t="s">
        <v>23</v>
      </c>
      <c r="B13" s="22">
        <f>GETPIVOTDATA("Total Game Pass",$A$5,"Auto Renewal",A13)</f>
        <v>806</v>
      </c>
    </row>
    <row r="14" spans="1:9" x14ac:dyDescent="0.35">
      <c r="A14" t="s">
        <v>19</v>
      </c>
      <c r="B14" s="22">
        <f>GETPIVOTDATA("Total Game Pass",$A$5,"Auto Renewal",A14)</f>
        <v>1502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45"/>
  <sheetViews>
    <sheetView showGridLines="0" tabSelected="1" zoomScale="80" zoomScaleNormal="80" workbookViewId="0">
      <selection activeCell="W1" sqref="W1"/>
    </sheetView>
  </sheetViews>
  <sheetFormatPr defaultRowHeight="15" customHeight="1" x14ac:dyDescent="0.35"/>
  <cols>
    <col min="1" max="3" width="10.90625" customWidth="1"/>
    <col min="4" max="4" width="3.6328125" customWidth="1"/>
    <col min="5" max="12" width="6.90625" customWidth="1"/>
    <col min="13" max="13" width="3.6328125" customWidth="1"/>
    <col min="14" max="21" width="6.90625" customWidth="1"/>
    <col min="22" max="22" width="3.6328125" customWidth="1"/>
    <col min="23" max="25" width="8.7265625" customWidth="1"/>
  </cols>
  <sheetData>
    <row r="1" spans="1:26" ht="20" customHeight="1" x14ac:dyDescent="0.35">
      <c r="A1" s="4"/>
      <c r="B1" s="4"/>
      <c r="C1" s="4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0" customHeight="1" thickBot="1" x14ac:dyDescent="0.4">
      <c r="A2" s="4"/>
      <c r="B2" s="4"/>
      <c r="C2" s="4"/>
      <c r="D2" s="18"/>
      <c r="E2" s="18"/>
      <c r="F2" s="24"/>
      <c r="G2" s="24"/>
      <c r="H2" s="24"/>
      <c r="I2" s="26" t="s">
        <v>319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18"/>
      <c r="W2" s="18"/>
      <c r="X2" s="18"/>
      <c r="Y2" s="18"/>
      <c r="Z2" s="18"/>
    </row>
    <row r="3" spans="1:26" ht="20" customHeight="1" thickTop="1" x14ac:dyDescent="0.35">
      <c r="A3" s="4"/>
      <c r="B3" s="4"/>
      <c r="C3" s="4"/>
      <c r="D3" s="18"/>
      <c r="E3" s="18"/>
      <c r="F3" s="25"/>
      <c r="G3" s="25"/>
      <c r="H3" s="25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8"/>
      <c r="W3" s="18"/>
      <c r="X3" s="18"/>
      <c r="Y3" s="18"/>
      <c r="Z3" s="18"/>
    </row>
    <row r="4" spans="1:26" ht="20" customHeight="1" x14ac:dyDescent="0.35">
      <c r="A4" s="4"/>
      <c r="B4" s="4"/>
      <c r="C4" s="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0" customHeight="1" x14ac:dyDescent="0.35">
      <c r="A5" s="4"/>
      <c r="B5" s="4"/>
      <c r="C5" s="4"/>
      <c r="D5" s="7"/>
      <c r="E5" s="20" t="s">
        <v>320</v>
      </c>
      <c r="F5" s="20"/>
      <c r="G5" s="20"/>
      <c r="H5" s="20"/>
      <c r="I5" s="20"/>
      <c r="J5" s="20"/>
      <c r="K5" s="20"/>
      <c r="L5" s="20"/>
      <c r="M5" s="7"/>
      <c r="N5" s="20" t="s">
        <v>321</v>
      </c>
      <c r="O5" s="20"/>
      <c r="P5" s="20"/>
      <c r="Q5" s="20"/>
      <c r="R5" s="20"/>
      <c r="S5" s="20"/>
      <c r="T5" s="20"/>
      <c r="U5" s="20"/>
      <c r="V5" s="7"/>
      <c r="W5" s="7"/>
      <c r="X5" s="7"/>
      <c r="Y5" s="7"/>
      <c r="Z5" s="7"/>
    </row>
    <row r="6" spans="1:26" ht="28" customHeight="1" x14ac:dyDescent="0.35">
      <c r="A6" s="4"/>
      <c r="B6" s="4"/>
      <c r="C6" s="4"/>
      <c r="D6" s="7"/>
      <c r="E6" s="18"/>
      <c r="F6" s="18"/>
      <c r="G6" s="18"/>
      <c r="H6" s="21">
        <f>GETPIVOTDATA("Total EA Play",C̳álculos!$E$5)</f>
        <v>990</v>
      </c>
      <c r="I6" s="21"/>
      <c r="J6" s="21"/>
      <c r="K6" s="21"/>
      <c r="L6" s="21"/>
      <c r="M6" s="7"/>
      <c r="N6" s="18"/>
      <c r="O6" s="18"/>
      <c r="P6" s="18"/>
      <c r="Q6" s="21">
        <f>GETPIVOTDATA("Total Minecraft",C̳álculos!$H$5)</f>
        <v>1140</v>
      </c>
      <c r="R6" s="21"/>
      <c r="S6" s="21"/>
      <c r="T6" s="21"/>
      <c r="U6" s="21"/>
      <c r="V6" s="7"/>
      <c r="W6" s="7"/>
      <c r="X6" s="7"/>
      <c r="Y6" s="7"/>
      <c r="Z6" s="7"/>
    </row>
    <row r="7" spans="1:26" ht="28" customHeight="1" x14ac:dyDescent="0.35">
      <c r="A7" s="23" t="s">
        <v>318</v>
      </c>
      <c r="B7" s="23"/>
      <c r="C7" s="23"/>
      <c r="D7" s="7"/>
      <c r="E7" s="18"/>
      <c r="F7" s="18"/>
      <c r="G7" s="18"/>
      <c r="H7" s="21"/>
      <c r="I7" s="21"/>
      <c r="J7" s="21"/>
      <c r="K7" s="21"/>
      <c r="L7" s="21"/>
      <c r="M7" s="7"/>
      <c r="N7" s="18"/>
      <c r="O7" s="18"/>
      <c r="P7" s="18"/>
      <c r="Q7" s="21"/>
      <c r="R7" s="21"/>
      <c r="S7" s="21"/>
      <c r="T7" s="21"/>
      <c r="U7" s="21"/>
      <c r="V7" s="7"/>
      <c r="W7" s="7"/>
      <c r="X7" s="7"/>
      <c r="Y7" s="7"/>
      <c r="Z7" s="7"/>
    </row>
    <row r="8" spans="1:26" ht="28" customHeight="1" x14ac:dyDescent="0.35">
      <c r="A8" s="27"/>
      <c r="B8" s="27"/>
      <c r="C8" s="27"/>
      <c r="D8" s="7"/>
      <c r="E8" s="18"/>
      <c r="F8" s="18"/>
      <c r="G8" s="18"/>
      <c r="H8" s="21"/>
      <c r="I8" s="21"/>
      <c r="J8" s="21"/>
      <c r="K8" s="21"/>
      <c r="L8" s="21"/>
      <c r="M8" s="7"/>
      <c r="N8" s="18"/>
      <c r="O8" s="18"/>
      <c r="P8" s="18"/>
      <c r="Q8" s="21"/>
      <c r="R8" s="21"/>
      <c r="S8" s="21"/>
      <c r="T8" s="21"/>
      <c r="U8" s="21"/>
      <c r="V8" s="7"/>
      <c r="W8" s="7"/>
      <c r="X8" s="7"/>
      <c r="Y8" s="7"/>
      <c r="Z8" s="7"/>
    </row>
    <row r="9" spans="1:26" ht="22" customHeight="1" x14ac:dyDescent="0.35">
      <c r="A9" s="4"/>
      <c r="B9" s="4"/>
      <c r="C9" s="4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0" customHeight="1" x14ac:dyDescent="0.35">
      <c r="A10" s="4"/>
      <c r="B10" s="4"/>
      <c r="C10" s="4"/>
      <c r="D10" s="7"/>
      <c r="E10" s="20" t="s">
        <v>322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7"/>
      <c r="W10" s="7"/>
      <c r="X10" s="7"/>
      <c r="Y10" s="7"/>
      <c r="Z10" s="7"/>
    </row>
    <row r="11" spans="1:26" ht="15" customHeight="1" x14ac:dyDescent="0.35">
      <c r="A11" s="4"/>
      <c r="B11" s="4"/>
      <c r="C11" s="4"/>
      <c r="D11" s="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7"/>
      <c r="W11" s="7"/>
      <c r="X11" s="7"/>
      <c r="Y11" s="7"/>
      <c r="Z11" s="7"/>
    </row>
    <row r="12" spans="1:26" ht="15" customHeight="1" x14ac:dyDescent="0.35">
      <c r="A12" s="4"/>
      <c r="B12" s="4"/>
      <c r="C12" s="4"/>
      <c r="D12" s="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7"/>
      <c r="W12" s="7"/>
      <c r="X12" s="7"/>
      <c r="Y12" s="7"/>
      <c r="Z12" s="7"/>
    </row>
    <row r="13" spans="1:26" ht="15" customHeight="1" x14ac:dyDescent="0.35">
      <c r="A13" s="4"/>
      <c r="B13" s="4"/>
      <c r="C13" s="4"/>
      <c r="D13" s="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7"/>
      <c r="W13" s="7"/>
      <c r="X13" s="7"/>
      <c r="Y13" s="7"/>
      <c r="Z13" s="7"/>
    </row>
    <row r="14" spans="1:26" ht="15" customHeight="1" x14ac:dyDescent="0.35">
      <c r="A14" s="4"/>
      <c r="B14" s="4"/>
      <c r="C14" s="4"/>
      <c r="D14" s="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7"/>
      <c r="W14" s="7"/>
      <c r="X14" s="7"/>
      <c r="Y14" s="7"/>
      <c r="Z14" s="7"/>
    </row>
    <row r="15" spans="1:26" ht="15" customHeight="1" x14ac:dyDescent="0.35">
      <c r="A15" s="4"/>
      <c r="B15" s="4"/>
      <c r="C15" s="4"/>
      <c r="D15" s="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7"/>
      <c r="W15" s="7"/>
      <c r="X15" s="7"/>
      <c r="Y15" s="7"/>
      <c r="Z15" s="7"/>
    </row>
    <row r="16" spans="1:26" ht="15" customHeight="1" x14ac:dyDescent="0.35">
      <c r="A16" s="4"/>
      <c r="B16" s="4"/>
      <c r="C16" s="4"/>
      <c r="D16" s="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7"/>
      <c r="W16" s="7"/>
      <c r="X16" s="7"/>
      <c r="Y16" s="7"/>
      <c r="Z16" s="7"/>
    </row>
    <row r="17" spans="1:26" ht="15" customHeight="1" x14ac:dyDescent="0.35">
      <c r="A17" s="4"/>
      <c r="B17" s="4"/>
      <c r="C17" s="4"/>
      <c r="D17" s="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7"/>
      <c r="W17" s="7"/>
      <c r="X17" s="7"/>
      <c r="Y17" s="7"/>
      <c r="Z17" s="7"/>
    </row>
    <row r="18" spans="1:26" ht="15" customHeight="1" x14ac:dyDescent="0.35">
      <c r="A18" s="4"/>
      <c r="B18" s="4"/>
      <c r="C18" s="4"/>
      <c r="D18" s="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7"/>
      <c r="W18" s="7"/>
      <c r="X18" s="7"/>
      <c r="Y18" s="7"/>
      <c r="Z18" s="7"/>
    </row>
    <row r="19" spans="1:26" ht="15" customHeight="1" x14ac:dyDescent="0.35">
      <c r="A19" s="4"/>
      <c r="B19" s="4"/>
      <c r="C19" s="4"/>
      <c r="D19" s="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7"/>
      <c r="W19" s="7"/>
      <c r="X19" s="7"/>
      <c r="Y19" s="7"/>
      <c r="Z19" s="7"/>
    </row>
    <row r="20" spans="1:26" ht="15" customHeight="1" x14ac:dyDescent="0.35">
      <c r="A20" s="4"/>
      <c r="B20" s="4"/>
      <c r="C20" s="4"/>
      <c r="D20" s="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7"/>
      <c r="W20" s="7"/>
      <c r="X20" s="7"/>
      <c r="Y20" s="7"/>
      <c r="Z20" s="7"/>
    </row>
    <row r="21" spans="1:26" ht="15" customHeight="1" x14ac:dyDescent="0.35">
      <c r="A21" s="4"/>
      <c r="B21" s="4"/>
      <c r="C21" s="4"/>
      <c r="D21" s="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7"/>
      <c r="W21" s="7"/>
      <c r="X21" s="7"/>
      <c r="Y21" s="7"/>
      <c r="Z21" s="7"/>
    </row>
    <row r="22" spans="1:26" ht="15" customHeight="1" x14ac:dyDescent="0.35">
      <c r="A22" s="4"/>
      <c r="B22" s="4"/>
      <c r="C22" s="4"/>
      <c r="D22" s="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7"/>
      <c r="W22" s="7"/>
      <c r="X22" s="7"/>
      <c r="Y22" s="7"/>
      <c r="Z22" s="7"/>
    </row>
    <row r="23" spans="1:26" ht="15" customHeight="1" x14ac:dyDescent="0.35">
      <c r="A23" s="4"/>
      <c r="B23" s="4"/>
      <c r="C23" s="4"/>
      <c r="D23" s="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7"/>
      <c r="W23" s="7"/>
      <c r="X23" s="7"/>
      <c r="Y23" s="7"/>
      <c r="Z23" s="7"/>
    </row>
    <row r="24" spans="1:26" ht="15" customHeight="1" x14ac:dyDescent="0.35">
      <c r="A24" s="4"/>
      <c r="B24" s="4"/>
      <c r="C24" s="4"/>
      <c r="D24" s="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7"/>
      <c r="W24" s="7"/>
      <c r="X24" s="7"/>
      <c r="Y24" s="7"/>
      <c r="Z24" s="7"/>
    </row>
    <row r="25" spans="1:26" ht="15" customHeight="1" x14ac:dyDescent="0.35">
      <c r="A25" s="4"/>
      <c r="B25" s="4"/>
      <c r="C25" s="4"/>
      <c r="D25" s="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7"/>
      <c r="W25" s="7"/>
      <c r="X25" s="7"/>
      <c r="Y25" s="7"/>
      <c r="Z25" s="7"/>
    </row>
    <row r="26" spans="1:26" ht="15" customHeight="1" x14ac:dyDescent="0.35">
      <c r="A26" s="4"/>
      <c r="B26" s="4"/>
      <c r="C26" s="4"/>
      <c r="D26" s="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7"/>
      <c r="W26" s="7"/>
      <c r="X26" s="7"/>
      <c r="Y26" s="7"/>
      <c r="Z26" s="7"/>
    </row>
    <row r="27" spans="1:26" ht="15" customHeight="1" x14ac:dyDescent="0.35">
      <c r="A27" s="4"/>
      <c r="B27" s="4"/>
      <c r="C27" s="4"/>
      <c r="D27" s="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7"/>
      <c r="W27" s="7"/>
      <c r="X27" s="7"/>
      <c r="Y27" s="7"/>
      <c r="Z27" s="7"/>
    </row>
    <row r="28" spans="1:26" ht="15" customHeight="1" x14ac:dyDescent="0.35">
      <c r="A28" s="4"/>
      <c r="B28" s="4"/>
      <c r="C28" s="4"/>
      <c r="D28" s="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7"/>
      <c r="W28" s="7"/>
      <c r="X28" s="7"/>
      <c r="Y28" s="7"/>
      <c r="Z28" s="7"/>
    </row>
    <row r="29" spans="1:26" ht="15" customHeight="1" x14ac:dyDescent="0.35">
      <c r="A29" s="4"/>
      <c r="B29" s="4"/>
      <c r="C29" s="4"/>
      <c r="D29" s="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7"/>
      <c r="W29" s="7"/>
      <c r="X29" s="7"/>
      <c r="Y29" s="7"/>
      <c r="Z29" s="7"/>
    </row>
    <row r="30" spans="1:26" ht="15" customHeight="1" x14ac:dyDescent="0.35">
      <c r="A30" s="4"/>
      <c r="B30" s="4"/>
      <c r="C30" s="4"/>
      <c r="D30" s="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7"/>
      <c r="W30" s="7"/>
      <c r="X30" s="7"/>
      <c r="Y30" s="7"/>
      <c r="Z30" s="7"/>
    </row>
    <row r="31" spans="1:26" ht="15" customHeight="1" x14ac:dyDescent="0.35">
      <c r="A31" s="4"/>
      <c r="B31" s="4"/>
      <c r="C31" s="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customHeight="1" x14ac:dyDescent="0.35">
      <c r="A32" s="4"/>
      <c r="B32" s="4"/>
      <c r="C32" s="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customHeight="1" x14ac:dyDescent="0.35">
      <c r="A33" s="4"/>
      <c r="B33" s="4"/>
      <c r="C33" s="4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 customHeight="1" x14ac:dyDescent="0.35">
      <c r="A34" s="4"/>
      <c r="B34" s="4"/>
      <c r="C34" s="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customHeight="1" x14ac:dyDescent="0.35">
      <c r="A35" s="4"/>
      <c r="B35" s="4"/>
      <c r="C35" s="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customHeight="1" x14ac:dyDescent="0.35">
      <c r="A36" s="4"/>
      <c r="B36" s="4"/>
      <c r="C36" s="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 customHeight="1" x14ac:dyDescent="0.35">
      <c r="A37" s="4"/>
      <c r="B37" s="4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 customHeight="1" x14ac:dyDescent="0.35">
      <c r="A38" s="4"/>
      <c r="B38" s="4"/>
      <c r="C38" s="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 customHeight="1" x14ac:dyDescent="0.35">
      <c r="A39" s="4"/>
      <c r="B39" s="4"/>
      <c r="C39" s="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customHeight="1" x14ac:dyDescent="0.35">
      <c r="A40" s="4"/>
      <c r="B40" s="4"/>
      <c r="C40" s="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customHeight="1" x14ac:dyDescent="0.35">
      <c r="A41" s="4"/>
      <c r="B41" s="4"/>
      <c r="C41" s="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customHeight="1" x14ac:dyDescent="0.35">
      <c r="A42" s="4"/>
      <c r="B42" s="4"/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customHeight="1" x14ac:dyDescent="0.35">
      <c r="A43" s="4"/>
      <c r="B43" s="4"/>
      <c r="C43" s="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customHeight="1" x14ac:dyDescent="0.35">
      <c r="A44" s="4"/>
      <c r="B44" s="4"/>
      <c r="C44" s="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customHeight="1" x14ac:dyDescent="0.35">
      <c r="A45" s="4"/>
      <c r="B45" s="4"/>
      <c r="C45" s="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</sheetData>
  <mergeCells count="7">
    <mergeCell ref="E10:U10"/>
    <mergeCell ref="H6:L8"/>
    <mergeCell ref="Q6:U8"/>
    <mergeCell ref="I2:U2"/>
    <mergeCell ref="A7:C7"/>
    <mergeCell ref="E5:L5"/>
    <mergeCell ref="N5:U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Carlos Vieira</cp:lastModifiedBy>
  <dcterms:created xsi:type="dcterms:W3CDTF">2024-12-19T13:13:10Z</dcterms:created>
  <dcterms:modified xsi:type="dcterms:W3CDTF">2026-09-27T14:48:02Z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